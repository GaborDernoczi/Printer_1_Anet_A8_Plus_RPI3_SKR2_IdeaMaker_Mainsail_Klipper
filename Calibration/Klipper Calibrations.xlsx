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_GitHub_Repositories\Printer_1_Anet_A8_Plus_RPI3_SKR2_IdeaMaker_Mainsail_Klipper\Calibration\"/>
    </mc:Choice>
  </mc:AlternateContent>
  <xr:revisionPtr revIDLastSave="0" documentId="13_ncr:1_{6A9E3951-1BF9-4682-8A5E-40D27B404292}" xr6:coauthVersionLast="47" xr6:coauthVersionMax="47" xr10:uidLastSave="{00000000-0000-0000-0000-000000000000}"/>
  <bookViews>
    <workbookView xWindow="-108" yWindow="-108" windowWidth="23256" windowHeight="12456" tabRatio="829" firstSheet="4" activeTab="9" xr2:uid="{00000000-000D-0000-FFFF-FFFF00000000}"/>
  </bookViews>
  <sheets>
    <sheet name="INSTRUCTIONS" sheetId="1" r:id="rId1"/>
    <sheet name="Extruder Rotation Distance" sheetId="2" r:id="rId2"/>
    <sheet name="Flow Calibration" sheetId="3" r:id="rId3"/>
    <sheet name="OrcaSlicer Flow Calibration" sheetId="4" r:id="rId4"/>
    <sheet name="Run Current" sheetId="5" r:id="rId5"/>
    <sheet name="Pressure Advance" sheetId="6" r:id="rId6"/>
    <sheet name="PA &amp; OrcaSlicer" sheetId="7" r:id="rId7"/>
    <sheet name="Input Shaping" sheetId="8" r:id="rId8"/>
    <sheet name="X and Y Offsets" sheetId="9" r:id="rId9"/>
    <sheet name="Max Volumetric Speed" sheetId="10" r:id="rId10"/>
    <sheet name="Lead Screw Rotation Distance" sheetId="11" r:id="rId11"/>
  </sheets>
  <calcPr calcId="181029"/>
</workbook>
</file>

<file path=xl/calcChain.xml><?xml version="1.0" encoding="utf-8"?>
<calcChain xmlns="http://schemas.openxmlformats.org/spreadsheetml/2006/main">
  <c r="A19" i="11" l="1"/>
  <c r="B23" i="10"/>
  <c r="C36" i="9"/>
  <c r="C35" i="9"/>
  <c r="B36" i="8"/>
  <c r="B20" i="7"/>
  <c r="B19" i="7"/>
  <c r="B33" i="6"/>
  <c r="B32" i="6"/>
  <c r="B14" i="6"/>
  <c r="B15" i="5"/>
  <c r="B20" i="4"/>
  <c r="B25" i="4" s="1"/>
  <c r="B27" i="4" s="1"/>
  <c r="B32" i="3"/>
  <c r="B33" i="3" s="1"/>
  <c r="D29" i="2"/>
  <c r="B27" i="2"/>
  <c r="A27" i="2"/>
  <c r="C29" i="2" s="1"/>
  <c r="A29" i="2" s="1"/>
  <c r="A16" i="2"/>
  <c r="A13" i="2"/>
  <c r="C26" i="10" l="1"/>
  <c r="C25" i="10"/>
  <c r="B42" i="8"/>
  <c r="B41" i="8"/>
</calcChain>
</file>

<file path=xl/sharedStrings.xml><?xml version="1.0" encoding="utf-8"?>
<sst xmlns="http://schemas.openxmlformats.org/spreadsheetml/2006/main" count="318" uniqueCount="210">
  <si>
    <t>To Use the Spreadsheet Go to "File" -&gt; "Make a Copy"</t>
  </si>
  <si>
    <t>You can also try my Klipper Calibration website:</t>
  </si>
  <si>
    <t>Minilam3DP Klipper Calibration Website: https://minimal3dp.com/</t>
  </si>
  <si>
    <t>minimal3dp@gmail.com</t>
  </si>
  <si>
    <t>Minimal 3Dp on Youtube</t>
  </si>
  <si>
    <t>Minimal 3DP</t>
  </si>
  <si>
    <t>Try My Klipper Calibration Website</t>
  </si>
  <si>
    <t>Klipper Calibration Website</t>
  </si>
  <si>
    <t>TABS AT BOTTOM FOR VARIOUS TESTS</t>
  </si>
  <si>
    <t>↓</t>
  </si>
  <si>
    <t>Extruder Rotation Distance</t>
  </si>
  <si>
    <t>Video Guide</t>
  </si>
  <si>
    <t>References:</t>
  </si>
  <si>
    <t>Rotation distance - Klipper documentation</t>
  </si>
  <si>
    <t>Klipper Extruder Rotation Distance Calculator | 3D Print Beginner</t>
  </si>
  <si>
    <t>Legend:</t>
  </si>
  <si>
    <t>Variables:</t>
  </si>
  <si>
    <t>DO NOT EDIT</t>
  </si>
  <si>
    <t>Full Steps Per Rotation</t>
  </si>
  <si>
    <t>1.8 Stepper</t>
  </si>
  <si>
    <t>Edit to Suit</t>
  </si>
  <si>
    <t>.9 Stepper</t>
  </si>
  <si>
    <t>User Input</t>
  </si>
  <si>
    <t>Micro Steps</t>
  </si>
  <si>
    <t>E-Steps and Rotation Distance Calculations</t>
  </si>
  <si>
    <t>Rotation Distance =</t>
  </si>
  <si>
    <t>Full Steps Per Rotation *</t>
  </si>
  <si>
    <t>Micro Steps /</t>
  </si>
  <si>
    <t>E Steps</t>
  </si>
  <si>
    <t>E-Steps =</t>
  </si>
  <si>
    <t>Rotation Distance</t>
  </si>
  <si>
    <t>Measure and Trim</t>
  </si>
  <si>
    <t>initial_mark_distance</t>
  </si>
  <si>
    <t>mm</t>
  </si>
  <si>
    <t>requested_extrude_distance</t>
  </si>
  <si>
    <t>Console Commands:</t>
  </si>
  <si>
    <t>G91</t>
  </si>
  <si>
    <t>G1 E50 F60</t>
  </si>
  <si>
    <t>E## = requested_extrude_distance</t>
  </si>
  <si>
    <t>actual_extrude_distance =</t>
  </si>
  <si>
    <t>- subsequent_mark_distance</t>
  </si>
  <si>
    <t xml:space="preserve">Rotation Distance = </t>
  </si>
  <si>
    <t>previous_rotation_distance</t>
  </si>
  <si>
    <t>* actual_extrude_distance</t>
  </si>
  <si>
    <t>/ requested_extrude_distance</t>
  </si>
  <si>
    <t>Flow Calibration</t>
  </si>
  <si>
    <t>Not Recommended</t>
  </si>
  <si>
    <t>https://3dprintbeginner.com/flow-rate-calibration/</t>
  </si>
  <si>
    <t>https://3dprinterly.com/how-to-calibrate-your-extruder-e-steps-flow-rate/</t>
  </si>
  <si>
    <t>Slicer Settings:</t>
  </si>
  <si>
    <t>Layer Height</t>
  </si>
  <si>
    <t>Perimeters</t>
  </si>
  <si>
    <t>Line Width</t>
  </si>
  <si>
    <t>Print Thin Walls</t>
  </si>
  <si>
    <t>Off</t>
  </si>
  <si>
    <t>Top Layer</t>
  </si>
  <si>
    <t>Bottom Layer</t>
  </si>
  <si>
    <t xml:space="preserve">Infill </t>
  </si>
  <si>
    <t>Cube STL File:</t>
  </si>
  <si>
    <t>Flow_Cube.stl</t>
  </si>
  <si>
    <t>Steps:</t>
  </si>
  <si>
    <t>Print Cube with Settings Above</t>
  </si>
  <si>
    <t>Measure the top of all 4 sides and place values below</t>
  </si>
  <si>
    <t>Update Flow in Slicer with "FLOW" Value</t>
  </si>
  <si>
    <t>Nozzle Diameter</t>
  </si>
  <si>
    <t>Measure 1</t>
  </si>
  <si>
    <t>Measure 2</t>
  </si>
  <si>
    <t>Measure 3</t>
  </si>
  <si>
    <t>Measure 4</t>
  </si>
  <si>
    <t>Average</t>
  </si>
  <si>
    <t>FLOW Value</t>
  </si>
  <si>
    <t>%</t>
  </si>
  <si>
    <t>Orca SlicerFlow</t>
  </si>
  <si>
    <t>Recommended</t>
  </si>
  <si>
    <t xml:space="preserve">Calibration
</t>
  </si>
  <si>
    <t>Orca Slicer -&gt; Calibration -&gt; Flow Rate -&gt; Pass 1</t>
  </si>
  <si>
    <t>Feel each "Slide" and determine the Smoothest</t>
  </si>
  <si>
    <t>Update Values Below</t>
  </si>
  <si>
    <t>Pass 1</t>
  </si>
  <si>
    <t>Old Flow Rate</t>
  </si>
  <si>
    <t>Pass 1 Slide Value</t>
  </si>
  <si>
    <t>Pass 1 FLOW Value</t>
  </si>
  <si>
    <t>Complete Pass 2</t>
  </si>
  <si>
    <t>Pass 2</t>
  </si>
  <si>
    <t>Pass 1 Flow Rate</t>
  </si>
  <si>
    <t>Pass 2 Slide Value</t>
  </si>
  <si>
    <t>New FLOW Value</t>
  </si>
  <si>
    <t>Use Pass 2 Flow Rate in Slicer</t>
  </si>
  <si>
    <t>Run Current for TMC2208/2209</t>
  </si>
  <si>
    <t>https://docs.vorondesign.com/community/howto/120decibell/calculating_driver_current.html#:~:text=Calculating%20Currents,is%20the%20maximum%20run%20current.</t>
  </si>
  <si>
    <t>Peak Current</t>
  </si>
  <si>
    <t>See Motor Spec Sheet</t>
  </si>
  <si>
    <t>RMS Factor</t>
  </si>
  <si>
    <t>See Reference</t>
  </si>
  <si>
    <t>Run Current</t>
  </si>
  <si>
    <t>Update TMC Section of Printer.cfg</t>
  </si>
  <si>
    <t>Pressure Advance</t>
  </si>
  <si>
    <t>https://www.klipper3d.org/Pressure_Advance.html</t>
  </si>
  <si>
    <t>Infill</t>
  </si>
  <si>
    <t>COMANDS:</t>
  </si>
  <si>
    <t>Setup</t>
  </si>
  <si>
    <t>SET_VELOCITY_LIMIT SQUARE_CORNER_VELOCITY=1 ACCEL=500</t>
  </si>
  <si>
    <t>Direct Drive</t>
  </si>
  <si>
    <t>TUNING_TOWER COMMAND=SET_PRESSURE_ADVANCE PARAMETER=ADVANCE START=0 FACTOR=.005</t>
  </si>
  <si>
    <t>Bowden</t>
  </si>
  <si>
    <t>TUNING_TOWER COMMAND=SET_PRESSURE_ADVANCE PARAMETER=ADVANCE START=0 FACTOR=.020</t>
  </si>
  <si>
    <t>pressure_advance = &lt;start&gt; + &lt;measured_height&gt; * &lt;factor&gt;</t>
  </si>
  <si>
    <t>Square Tower</t>
  </si>
  <si>
    <t>https://www.klipper3d.org/prints/square_tower.stl</t>
  </si>
  <si>
    <t>Start</t>
  </si>
  <si>
    <t>Based on Commands above</t>
  </si>
  <si>
    <t>Direct Drive Factor</t>
  </si>
  <si>
    <t>Bowden Factor</t>
  </si>
  <si>
    <t>Measured Height</t>
  </si>
  <si>
    <t>Direct Drive Pressure Advance</t>
  </si>
  <si>
    <t>Use for Direct Drive</t>
  </si>
  <si>
    <t>Bowden Pressure Advance</t>
  </si>
  <si>
    <t>Use for Bowden</t>
  </si>
  <si>
    <t>https://github.com/SoftFever/OrcaSlicer/wiki/Calibration#pressure-advance</t>
  </si>
  <si>
    <t>PA Tower</t>
  </si>
  <si>
    <t>Direct Drive Step</t>
  </si>
  <si>
    <t>Bowden Step</t>
  </si>
  <si>
    <t>Input Shaping</t>
  </si>
  <si>
    <t>https://www.klipper3d.org/Resonance_Compensation.html</t>
  </si>
  <si>
    <t>https://all3dp.com/2/klipper-input-shaping-simply-explained/</t>
  </si>
  <si>
    <t>or .25</t>
  </si>
  <si>
    <t>Paerimeters</t>
  </si>
  <si>
    <t>0r 2 0r Vase Mode</t>
  </si>
  <si>
    <t>Print Speed</t>
  </si>
  <si>
    <t>0r 80</t>
  </si>
  <si>
    <t>https://www.klipper3d.org/prints/ringing_tower.stl</t>
  </si>
  <si>
    <t>If square_corner_velocity parameter was changed, revert it back to 5.0.</t>
  </si>
  <si>
    <t>Klipper Console Command:</t>
  </si>
  <si>
    <t>SET_VELOCITY_LIMIT ACCEL_TO_DECEL=7000</t>
  </si>
  <si>
    <t>SET_PRESSURE_ADVANCE ADVANCE=0</t>
  </si>
  <si>
    <t>SET_INPUT_SHAPER SHAPER_FREQ_X=0 SHAPER_FREQ_Y=0</t>
  </si>
  <si>
    <t>TUNING_TOWER COMMAND=SET_VELOCITY_LIMIT PARAMETER=ACCEL START=1500 STEP_DELTA=500 STEP_HEIGHT=5</t>
  </si>
  <si>
    <t>Print with Settings Above</t>
  </si>
  <si>
    <t>Count the "rings" on X and Y sides of ringing tower</t>
  </si>
  <si>
    <t>Measure the distance between Rings</t>
  </si>
  <si>
    <t>X Rings</t>
  </si>
  <si>
    <t>Based on X Ring Count</t>
  </si>
  <si>
    <t>X Measurements</t>
  </si>
  <si>
    <t>Based on Caliper Measurements</t>
  </si>
  <si>
    <t>Y Rings</t>
  </si>
  <si>
    <t>Base on Y Ring Count</t>
  </si>
  <si>
    <t>Y Measurements</t>
  </si>
  <si>
    <t>X Frequency</t>
  </si>
  <si>
    <t>Hz</t>
  </si>
  <si>
    <t>Y Frequency</t>
  </si>
  <si>
    <t>Add Below to Printer.cfg with above X and Y Frequencies</t>
  </si>
  <si>
    <t>[input_shaper]</t>
  </si>
  <si>
    <t>shaper_freq_x: ...  # frequency for the X mark of the test model</t>
  </si>
  <si>
    <t>shaper_freq_y: ...  # frequency for the Y mark of the test model</t>
  </si>
  <si>
    <t>THEN Run the following Steps"</t>
  </si>
  <si>
    <t>RESTART</t>
  </si>
  <si>
    <t>SET_INPUT_SHAPER SHAPER_TYPE=MZV</t>
  </si>
  <si>
    <t>Print the Model as above</t>
  </si>
  <si>
    <t>If you see no rings add the following to the [input_shaper] section</t>
  </si>
  <si>
    <t>shaper_type: mzv</t>
  </si>
  <si>
    <t>If you still have rings, rerun steps 9-14 and replace step 12 with:</t>
  </si>
  <si>
    <t>SET_INPUT_SHAPER SHAPER_TYPE=EI</t>
  </si>
  <si>
    <t>and use the shaper_type that worked best for you</t>
  </si>
  <si>
    <t>shaper_type: el</t>
  </si>
  <si>
    <t>If neither MZV or El work well consult:</t>
  </si>
  <si>
    <t>https://www.klipper3d.org/Resonance_Compensation.html#input-shapers</t>
  </si>
  <si>
    <t>Setting the X and Y Offsets</t>
  </si>
  <si>
    <t>https://www.klipper3d.org/Probe_Calibrate.html#calibrating-probe-x-and-y-offsets</t>
  </si>
  <si>
    <t>Navigate to Terminal in Octoprint, Mainsail, or Fluidd</t>
  </si>
  <si>
    <t>Issue Command:</t>
  </si>
  <si>
    <t>PROBE</t>
  </si>
  <si>
    <t>Issue Command</t>
  </si>
  <si>
    <t>GET_POSITION</t>
  </si>
  <si>
    <t>Record Toolhead Position</t>
  </si>
  <si>
    <t>Toolhead X Probe</t>
  </si>
  <si>
    <t xml:space="preserve">Toolhead Y Probe </t>
  </si>
  <si>
    <t>Mark Bed  at Probe point</t>
  </si>
  <si>
    <t>Move Nozzle to over marked Point</t>
  </si>
  <si>
    <t>Toolhead X Nozzle</t>
  </si>
  <si>
    <t>Toolhead Y Nozzle</t>
  </si>
  <si>
    <t>Add Offsets to Printer.cfg</t>
  </si>
  <si>
    <t>X Offset</t>
  </si>
  <si>
    <t>Y Offset</t>
  </si>
  <si>
    <t>Max Volumetric Speed</t>
  </si>
  <si>
    <t>https://github.com/SoftFever/OrcaSlicer/wiki/Calibration#max-volumetric-speed</t>
  </si>
  <si>
    <t>Open OrcaSlicer</t>
  </si>
  <si>
    <t>Go to "Calibration" -&gt; "More..." -&gt; "Max Flowrate</t>
  </si>
  <si>
    <t>Fill out "Max volumetric speed test" dialog</t>
  </si>
  <si>
    <t>Print Model</t>
  </si>
  <si>
    <t>Measure with Calipers to spot on model before the print starts to fail</t>
  </si>
  <si>
    <t>Paste Max Flow Value into Orca Slicer Filament Section</t>
  </si>
  <si>
    <t>max flow value =</t>
  </si>
  <si>
    <t>start + (height-measured * step)</t>
  </si>
  <si>
    <t>Max Flow Value =</t>
  </si>
  <si>
    <t>Start +</t>
  </si>
  <si>
    <t>(Height Measured *</t>
  </si>
  <si>
    <t>step)</t>
  </si>
  <si>
    <t>5% =</t>
  </si>
  <si>
    <t>10% =</t>
  </si>
  <si>
    <t>Lead Screw Rotation Distance</t>
  </si>
  <si>
    <t>https://www.klipper3d.org/Rotation_Distance.html#axes-with-a-lead-screw</t>
  </si>
  <si>
    <t>T8</t>
  </si>
  <si>
    <t>Pitch</t>
  </si>
  <si>
    <t># of Threads</t>
  </si>
  <si>
    <t>Variables</t>
  </si>
  <si>
    <t>T8x8</t>
  </si>
  <si>
    <t>T8x4</t>
  </si>
  <si>
    <t>T8x2</t>
  </si>
  <si>
    <t>= Pitch</t>
  </si>
  <si>
    <t>* # of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</si>
</sst>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5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rgb="FF0000FF"/>
      <name val="Arial"/>
    </font>
    <font>
      <u/>
      <sz val="13"/>
      <color rgb="FF0000FF"/>
      <name val="Arial"/>
    </font>
    <font>
      <b/>
      <u/>
      <sz val="12"/>
      <color rgb="FF0000FF"/>
      <name val="Arial"/>
    </font>
    <font>
      <b/>
      <i/>
      <sz val="16"/>
      <color rgb="FFFF0000"/>
      <name val="Arial"/>
      <scheme val="minor"/>
    </font>
    <font>
      <b/>
      <sz val="42"/>
      <color rgb="FF202122"/>
      <name val="Sans-serif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b/>
      <sz val="11"/>
      <color rgb="FF000000"/>
      <name val="Inconsolata"/>
    </font>
    <font>
      <sz val="11"/>
      <color rgb="FF000000"/>
      <name val="Inconsolata"/>
    </font>
    <font>
      <b/>
      <sz val="10"/>
      <color rgb="FF000000"/>
      <name val="Arial"/>
      <scheme val="minor"/>
    </font>
    <font>
      <b/>
      <sz val="12"/>
      <color rgb="FF000000"/>
      <name val="Roboto"/>
    </font>
    <font>
      <b/>
      <u/>
      <sz val="10"/>
      <color rgb="FF0000FF"/>
      <name val="Arial"/>
    </font>
    <font>
      <sz val="10"/>
      <color rgb="FF000000"/>
      <name val="&quot;Roboto Mono&quot;"/>
    </font>
    <font>
      <b/>
      <sz val="10"/>
      <color rgb="FF000000"/>
      <name val="&quot;Roboto Mono&quot;"/>
    </font>
    <font>
      <sz val="10"/>
      <color rgb="FF000000"/>
      <name val="Arial"/>
      <scheme val="minor"/>
    </font>
    <font>
      <sz val="9"/>
      <color rgb="FF1F1F1F"/>
      <name val="&quot;Google Sans&quot;"/>
    </font>
    <font>
      <sz val="21"/>
      <color rgb="FFFF0000"/>
      <name val="Arial"/>
      <scheme val="minor"/>
    </font>
    <font>
      <b/>
      <u/>
      <sz val="10"/>
      <color rgb="FF0000FF"/>
      <name val="Arial"/>
    </font>
    <font>
      <b/>
      <sz val="10"/>
      <color rgb="FF000000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11" fillId="0" borderId="1" xfId="0" applyFont="1" applyBorder="1"/>
    <xf numFmtId="0" fontId="2" fillId="0" borderId="1" xfId="0" applyFont="1" applyBorder="1"/>
    <xf numFmtId="0" fontId="10" fillId="3" borderId="0" xfId="0" applyFont="1" applyFill="1"/>
    <xf numFmtId="0" fontId="2" fillId="3" borderId="0" xfId="0" applyFont="1" applyFill="1" applyAlignment="1">
      <alignment horizontal="center"/>
    </xf>
    <xf numFmtId="0" fontId="12" fillId="3" borderId="0" xfId="0" applyFont="1" applyFill="1"/>
    <xf numFmtId="0" fontId="10" fillId="4" borderId="0" xfId="0" applyFont="1" applyFill="1"/>
    <xf numFmtId="0" fontId="2" fillId="4" borderId="1" xfId="0" applyFont="1" applyFill="1" applyBorder="1" applyAlignment="1">
      <alignment horizontal="center"/>
    </xf>
    <xf numFmtId="0" fontId="10" fillId="5" borderId="0" xfId="0" applyFont="1" applyFill="1"/>
    <xf numFmtId="0" fontId="13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6" borderId="1" xfId="0" applyFont="1" applyFill="1" applyBorder="1" applyAlignment="1">
      <alignment horizontal="left"/>
    </xf>
    <xf numFmtId="0" fontId="2" fillId="3" borderId="1" xfId="0" applyFont="1" applyFill="1" applyBorder="1"/>
    <xf numFmtId="0" fontId="18" fillId="0" borderId="0" xfId="0" applyFont="1" applyAlignment="1">
      <alignment horizontal="left"/>
    </xf>
    <xf numFmtId="0" fontId="18" fillId="3" borderId="0" xfId="0" applyFont="1" applyFill="1" applyAlignment="1">
      <alignment horizontal="left"/>
    </xf>
    <xf numFmtId="0" fontId="2" fillId="6" borderId="0" xfId="0" applyFont="1" applyFill="1"/>
    <xf numFmtId="164" fontId="19" fillId="3" borderId="0" xfId="0" applyNumberFormat="1" applyFont="1" applyFill="1" applyAlignment="1">
      <alignment horizontal="center"/>
    </xf>
    <xf numFmtId="0" fontId="20" fillId="2" borderId="0" xfId="0" applyFont="1" applyFill="1"/>
    <xf numFmtId="0" fontId="2" fillId="6" borderId="0" xfId="0" applyFont="1" applyFill="1" applyAlignment="1">
      <alignment horizontal="center"/>
    </xf>
    <xf numFmtId="0" fontId="21" fillId="0" borderId="0" xfId="0" applyFont="1"/>
    <xf numFmtId="0" fontId="22" fillId="0" borderId="0" xfId="0" applyFont="1"/>
    <xf numFmtId="0" fontId="10" fillId="3" borderId="0" xfId="0" applyFont="1" applyFill="1" applyAlignment="1">
      <alignment horizontal="right"/>
    </xf>
    <xf numFmtId="9" fontId="10" fillId="3" borderId="0" xfId="0" applyNumberFormat="1" applyFont="1" applyFill="1"/>
    <xf numFmtId="0" fontId="23" fillId="2" borderId="0" xfId="0" applyFont="1" applyFill="1" applyAlignment="1">
      <alignment horizontal="left"/>
    </xf>
    <xf numFmtId="0" fontId="10" fillId="4" borderId="1" xfId="0" applyFont="1" applyFill="1" applyBorder="1"/>
    <xf numFmtId="164" fontId="10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/>
    <xf numFmtId="164" fontId="10" fillId="3" borderId="1" xfId="0" applyNumberFormat="1" applyFont="1" applyFill="1" applyBorder="1" applyAlignment="1">
      <alignment horizontal="center"/>
    </xf>
    <xf numFmtId="164" fontId="10" fillId="5" borderId="0" xfId="0" applyNumberFormat="1" applyFont="1" applyFill="1" applyAlignment="1">
      <alignment horizontal="center"/>
    </xf>
    <xf numFmtId="0" fontId="10" fillId="3" borderId="1" xfId="0" applyFont="1" applyFill="1" applyBorder="1"/>
    <xf numFmtId="0" fontId="2" fillId="4" borderId="0" xfId="0" applyFont="1" applyFill="1"/>
    <xf numFmtId="0" fontId="24" fillId="0" borderId="0" xfId="0" applyFont="1"/>
    <xf numFmtId="0" fontId="10" fillId="5" borderId="0" xfId="0" applyFont="1" applyFill="1" applyAlignment="1">
      <alignment horizontal="center"/>
    </xf>
    <xf numFmtId="0" fontId="10" fillId="3" borderId="0" xfId="0" applyFont="1" applyFill="1" applyAlignment="1">
      <alignment wrapText="1"/>
    </xf>
    <xf numFmtId="0" fontId="10" fillId="5" borderId="0" xfId="0" applyFont="1" applyFill="1" applyAlignment="1">
      <alignment horizontal="right"/>
    </xf>
    <xf numFmtId="164" fontId="10" fillId="3" borderId="0" xfId="0" applyNumberFormat="1" applyFont="1" applyFill="1"/>
    <xf numFmtId="0" fontId="10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quotePrefix="1" applyFont="1"/>
    <xf numFmtId="0" fontId="10" fillId="3" borderId="0" xfId="0" applyFont="1" applyFill="1"/>
    <xf numFmtId="0" fontId="0" fillId="0" borderId="0" xfId="0"/>
    <xf numFmtId="0" fontId="2" fillId="0" borderId="0" xfId="0" applyFont="1"/>
    <xf numFmtId="0" fontId="1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914400</xdr:colOff>
      <xdr:row>15</xdr:row>
      <xdr:rowOff>171450</xdr:rowOff>
    </xdr:from>
    <xdr:ext cx="3228975" cy="4314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nimal3dp.com/klipper-calibration/" TargetMode="External"/><Relationship Id="rId2" Type="http://schemas.openxmlformats.org/officeDocument/2006/relationships/hyperlink" Target="https://www.youtube.com/channel/UCM_8Mv-0S1LnnJpRJLjahaw?sub_confirmation=1" TargetMode="External"/><Relationship Id="rId1" Type="http://schemas.openxmlformats.org/officeDocument/2006/relationships/hyperlink" Target="mailto:minimal3dp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lipper3d.org/Rotation_Distance.html" TargetMode="External"/><Relationship Id="rId2" Type="http://schemas.openxmlformats.org/officeDocument/2006/relationships/hyperlink" Target="https://3dprintbeginner.com/rotation-distance-calculator/" TargetMode="External"/><Relationship Id="rId1" Type="http://schemas.openxmlformats.org/officeDocument/2006/relationships/hyperlink" Target="https://www.klipper3d.org/Rotation_Distanc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vJEoea94jWu8c0bYwK1tcJ92S1TD9wj/view?usp=sharing" TargetMode="External"/><Relationship Id="rId2" Type="http://schemas.openxmlformats.org/officeDocument/2006/relationships/hyperlink" Target="https://3dprinterly.com/how-to-calibrate-your-extruder-e-steps-flow-rate/" TargetMode="External"/><Relationship Id="rId1" Type="http://schemas.openxmlformats.org/officeDocument/2006/relationships/hyperlink" Target="https://3dprintbeginner.com/flow-rate-calibratio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3dprinterly.com/how-to-calibrate-your-extruder-e-steps-flow-rate/" TargetMode="External"/><Relationship Id="rId1" Type="http://schemas.openxmlformats.org/officeDocument/2006/relationships/hyperlink" Target="https://3dprintbeginner.com/flow-rate-calibratio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vorondesign.com/community/howto/120decibell/calculating_driver_current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lipper3d.org/prints/square_tower.stl" TargetMode="External"/><Relationship Id="rId1" Type="http://schemas.openxmlformats.org/officeDocument/2006/relationships/hyperlink" Target="https://www.klipper3d.org/Pressure_Advance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oftFever/OrcaSlicer/wiki/Calibratio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lipper3d.org/prints/ringing_tower.stl" TargetMode="External"/><Relationship Id="rId2" Type="http://schemas.openxmlformats.org/officeDocument/2006/relationships/hyperlink" Target="https://all3dp.com/2/klipper-input-shaping-simply-explained/" TargetMode="External"/><Relationship Id="rId1" Type="http://schemas.openxmlformats.org/officeDocument/2006/relationships/hyperlink" Target="https://www.klipper3d.org/Resonance_Compensation.html" TargetMode="External"/><Relationship Id="rId4" Type="http://schemas.openxmlformats.org/officeDocument/2006/relationships/hyperlink" Target="https://www.klipper3d.org/Resonance_Compensation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lipper3d.org/Probe_Calibrate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SoftFever/OrcaSlicer/wiki/Calibratio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lipper3d.org/Rotation_Dist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workbookViewId="0">
      <selection activeCell="A17" sqref="A17"/>
    </sheetView>
  </sheetViews>
  <sheetFormatPr defaultColWidth="12.6640625" defaultRowHeight="15.75" customHeight="1"/>
  <cols>
    <col min="1" max="1" width="97.77734375" bestFit="1" customWidth="1"/>
    <col min="2" max="2" width="30.109375" bestFit="1" customWidth="1"/>
  </cols>
  <sheetData>
    <row r="1" spans="1:2" ht="15.75" customHeight="1">
      <c r="A1" s="1" t="s">
        <v>0</v>
      </c>
    </row>
    <row r="2" spans="1:2" ht="15.75" customHeight="1">
      <c r="A2" s="1"/>
    </row>
    <row r="3" spans="1:2">
      <c r="A3" s="2" t="s">
        <v>1</v>
      </c>
    </row>
    <row r="5" spans="1:2" ht="15.75" customHeight="1">
      <c r="A5" s="3" t="s">
        <v>2</v>
      </c>
      <c r="B5" s="4" t="s">
        <v>3</v>
      </c>
    </row>
    <row r="6" spans="1:2">
      <c r="A6" s="2"/>
    </row>
    <row r="7" spans="1:2" ht="15.75" customHeight="1">
      <c r="A7" s="3" t="s">
        <v>4</v>
      </c>
      <c r="B7" s="5" t="s">
        <v>5</v>
      </c>
    </row>
    <row r="9" spans="1:2" ht="15.75" customHeight="1">
      <c r="A9" s="3" t="s">
        <v>6</v>
      </c>
      <c r="B9" s="6" t="s">
        <v>7</v>
      </c>
    </row>
    <row r="11" spans="1:2" ht="15.75" customHeight="1">
      <c r="A11" s="7" t="s">
        <v>8</v>
      </c>
    </row>
    <row r="12" spans="1:2" ht="15.75" customHeight="1">
      <c r="A12" s="8" t="s">
        <v>9</v>
      </c>
    </row>
  </sheetData>
  <hyperlinks>
    <hyperlink ref="B5" r:id="rId1" xr:uid="{00000000-0004-0000-0000-000000000000}"/>
    <hyperlink ref="B7" r:id="rId2" xr:uid="{00000000-0004-0000-0000-000001000000}"/>
    <hyperlink ref="B9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6"/>
  <sheetViews>
    <sheetView topLeftCell="A13" workbookViewId="0">
      <selection activeCell="B36" sqref="B36"/>
    </sheetView>
  </sheetViews>
  <sheetFormatPr defaultColWidth="12.6640625" defaultRowHeight="15.75" customHeight="1"/>
  <cols>
    <col min="1" max="1" width="45.33203125" bestFit="1" customWidth="1"/>
    <col min="2" max="2" width="59.44140625" bestFit="1" customWidth="1"/>
    <col min="3" max="3" width="29.6640625" bestFit="1" customWidth="1"/>
    <col min="4" max="4" width="27.33203125" bestFit="1" customWidth="1"/>
    <col min="5" max="5" width="11.33203125" bestFit="1" customWidth="1"/>
    <col min="6" max="6" width="4" bestFit="1" customWidth="1"/>
    <col min="7" max="7" width="11.6640625" customWidth="1"/>
  </cols>
  <sheetData>
    <row r="1" spans="1:6" ht="15.75" customHeight="1">
      <c r="A1" s="9" t="s">
        <v>10</v>
      </c>
    </row>
    <row r="2" spans="1:6">
      <c r="A2" s="10"/>
      <c r="B2" s="2"/>
    </row>
    <row r="3" spans="1:6">
      <c r="A3" s="10" t="s">
        <v>11</v>
      </c>
      <c r="B3" s="2"/>
    </row>
    <row r="4" spans="1:6">
      <c r="A4" s="10"/>
      <c r="B4" s="2"/>
    </row>
    <row r="5" spans="1:6">
      <c r="A5" s="11" t="s">
        <v>12</v>
      </c>
      <c r="B5" s="12" t="s">
        <v>13</v>
      </c>
      <c r="C5" s="13"/>
    </row>
    <row r="6" spans="1:6">
      <c r="A6" s="13"/>
      <c r="B6" s="12" t="s">
        <v>14</v>
      </c>
      <c r="C6" s="13"/>
    </row>
    <row r="7" spans="1:6">
      <c r="A7" s="10" t="s">
        <v>15</v>
      </c>
      <c r="D7" s="14" t="s">
        <v>16</v>
      </c>
      <c r="E7" s="14"/>
      <c r="F7" s="15"/>
    </row>
    <row r="8" spans="1:6" ht="15.75" customHeight="1">
      <c r="A8" s="14"/>
      <c r="B8" s="10" t="s">
        <v>17</v>
      </c>
      <c r="D8" s="16" t="s">
        <v>18</v>
      </c>
      <c r="E8" s="17" t="s">
        <v>19</v>
      </c>
      <c r="F8" s="18">
        <v>200</v>
      </c>
    </row>
    <row r="9" spans="1:6" ht="15.75" customHeight="1">
      <c r="A9" s="17"/>
      <c r="B9" s="10" t="s">
        <v>20</v>
      </c>
      <c r="D9" s="16" t="s">
        <v>18</v>
      </c>
      <c r="E9" s="17" t="s">
        <v>21</v>
      </c>
      <c r="F9" s="18">
        <v>400</v>
      </c>
    </row>
    <row r="10" spans="1:6" ht="15.75" customHeight="1">
      <c r="A10" s="19"/>
      <c r="B10" s="10" t="s">
        <v>22</v>
      </c>
      <c r="D10" s="20"/>
      <c r="E10" s="17" t="s">
        <v>23</v>
      </c>
      <c r="F10" s="18">
        <v>32</v>
      </c>
    </row>
    <row r="11" spans="1:6">
      <c r="A11" s="14" t="s">
        <v>24</v>
      </c>
      <c r="B11" s="21"/>
      <c r="F11" s="22"/>
    </row>
    <row r="12" spans="1:6">
      <c r="A12" s="14" t="s">
        <v>25</v>
      </c>
      <c r="B12" s="14" t="s">
        <v>26</v>
      </c>
      <c r="C12" s="14" t="s">
        <v>27</v>
      </c>
      <c r="D12" s="14" t="s">
        <v>28</v>
      </c>
      <c r="F12" s="22"/>
    </row>
    <row r="13" spans="1:6">
      <c r="A13" s="23">
        <f>B13*C13/D13</f>
        <v>16</v>
      </c>
      <c r="B13" s="24">
        <v>200</v>
      </c>
      <c r="C13" s="24">
        <v>32</v>
      </c>
      <c r="D13" s="25">
        <v>400</v>
      </c>
      <c r="F13" s="22"/>
    </row>
    <row r="14" spans="1:6">
      <c r="F14" s="22"/>
    </row>
    <row r="15" spans="1:6">
      <c r="A15" s="14" t="s">
        <v>29</v>
      </c>
      <c r="B15" s="14" t="s">
        <v>26</v>
      </c>
      <c r="C15" s="14" t="s">
        <v>27</v>
      </c>
      <c r="D15" s="14" t="s">
        <v>30</v>
      </c>
      <c r="F15" s="22"/>
    </row>
    <row r="16" spans="1:6">
      <c r="A16" s="23">
        <f>B16*C16/D16</f>
        <v>800</v>
      </c>
      <c r="B16" s="24">
        <v>200</v>
      </c>
      <c r="C16" s="24">
        <v>32</v>
      </c>
      <c r="D16" s="26">
        <v>8</v>
      </c>
      <c r="F16" s="22"/>
    </row>
    <row r="17" spans="1:6">
      <c r="F17" s="22"/>
    </row>
    <row r="18" spans="1:6" ht="15.75" customHeight="1">
      <c r="A18" s="27" t="s">
        <v>31</v>
      </c>
      <c r="B18" s="28" t="s">
        <v>13</v>
      </c>
      <c r="F18" s="22"/>
    </row>
    <row r="19" spans="1:6">
      <c r="A19" s="29" t="s">
        <v>32</v>
      </c>
      <c r="B19" s="18">
        <v>70</v>
      </c>
      <c r="C19" s="30" t="s">
        <v>33</v>
      </c>
      <c r="F19" s="22"/>
    </row>
    <row r="20" spans="1:6">
      <c r="A20" s="29" t="s">
        <v>34</v>
      </c>
      <c r="B20" s="18">
        <v>50</v>
      </c>
      <c r="C20" s="30" t="s">
        <v>33</v>
      </c>
      <c r="F20" s="22"/>
    </row>
    <row r="21" spans="1:6">
      <c r="F21" s="22"/>
    </row>
    <row r="22" spans="1:6">
      <c r="A22" s="10" t="s">
        <v>35</v>
      </c>
      <c r="F22" s="22"/>
    </row>
    <row r="23" spans="1:6">
      <c r="B23" s="10" t="s">
        <v>36</v>
      </c>
      <c r="F23" s="22"/>
    </row>
    <row r="24" spans="1:6">
      <c r="B24" s="10" t="s">
        <v>37</v>
      </c>
      <c r="C24" s="2" t="s">
        <v>38</v>
      </c>
      <c r="F24" s="22"/>
    </row>
    <row r="25" spans="1:6">
      <c r="A25" s="31"/>
      <c r="B25" s="31"/>
      <c r="C25" s="10"/>
      <c r="F25" s="22"/>
    </row>
    <row r="26" spans="1:6">
      <c r="A26" s="32" t="s">
        <v>39</v>
      </c>
      <c r="B26" s="32" t="s">
        <v>32</v>
      </c>
      <c r="C26" s="14" t="s">
        <v>40</v>
      </c>
      <c r="F26" s="22"/>
    </row>
    <row r="27" spans="1:6">
      <c r="A27" s="15">
        <f>B27-C27</f>
        <v>49.510000000000005</v>
      </c>
      <c r="B27" s="15">
        <f>B19</f>
        <v>70</v>
      </c>
      <c r="C27" s="25">
        <v>20.49</v>
      </c>
      <c r="F27" s="22"/>
    </row>
    <row r="28" spans="1:6" ht="13.2">
      <c r="A28" s="14" t="s">
        <v>41</v>
      </c>
      <c r="B28" s="32" t="s">
        <v>42</v>
      </c>
      <c r="C28" s="32" t="s">
        <v>43</v>
      </c>
      <c r="D28" s="32" t="s">
        <v>44</v>
      </c>
      <c r="E28" s="33"/>
      <c r="F28" s="22"/>
    </row>
    <row r="29" spans="1:6" ht="13.2">
      <c r="A29" s="34">
        <f>B29*C29/D29</f>
        <v>24.235145000000003</v>
      </c>
      <c r="B29" s="35">
        <v>24.475000000000001</v>
      </c>
      <c r="C29" s="36">
        <f>A27</f>
        <v>49.510000000000005</v>
      </c>
      <c r="D29" s="15">
        <f>B20</f>
        <v>50</v>
      </c>
      <c r="F29" s="22"/>
    </row>
    <row r="30" spans="1:6" ht="13.2">
      <c r="F30" s="22"/>
    </row>
    <row r="31" spans="1:6" ht="13.2">
      <c r="F31" s="22"/>
    </row>
    <row r="32" spans="1:6" ht="13.2">
      <c r="F32" s="22"/>
    </row>
    <row r="33" spans="6:6" ht="13.2">
      <c r="F33" s="22"/>
    </row>
    <row r="34" spans="6:6" ht="13.2">
      <c r="F34" s="22"/>
    </row>
    <row r="35" spans="6:6" ht="13.2">
      <c r="F35" s="22"/>
    </row>
    <row r="36" spans="6:6" ht="13.2">
      <c r="F36" s="22"/>
    </row>
    <row r="37" spans="6:6" ht="13.2">
      <c r="F37" s="22"/>
    </row>
    <row r="38" spans="6:6" ht="13.2">
      <c r="F38" s="22"/>
    </row>
    <row r="39" spans="6:6" ht="13.2">
      <c r="F39" s="22"/>
    </row>
    <row r="40" spans="6:6" ht="13.2">
      <c r="F40" s="22"/>
    </row>
    <row r="41" spans="6:6" ht="13.2">
      <c r="F41" s="22"/>
    </row>
    <row r="42" spans="6:6" ht="13.2">
      <c r="F42" s="22"/>
    </row>
    <row r="43" spans="6:6" ht="13.2">
      <c r="F43" s="22"/>
    </row>
    <row r="44" spans="6:6" ht="13.2">
      <c r="F44" s="22"/>
    </row>
    <row r="45" spans="6:6" ht="13.2">
      <c r="F45" s="22"/>
    </row>
    <row r="46" spans="6:6" ht="13.2">
      <c r="F46" s="22"/>
    </row>
    <row r="47" spans="6:6" ht="13.2">
      <c r="F47" s="22"/>
    </row>
    <row r="48" spans="6:6" ht="13.2">
      <c r="F48" s="22"/>
    </row>
    <row r="49" spans="6:6" ht="13.2">
      <c r="F49" s="22"/>
    </row>
    <row r="50" spans="6:6" ht="13.2">
      <c r="F50" s="22"/>
    </row>
    <row r="51" spans="6:6" ht="13.2">
      <c r="F51" s="22"/>
    </row>
    <row r="52" spans="6:6" ht="13.2">
      <c r="F52" s="22"/>
    </row>
    <row r="53" spans="6:6" ht="13.2">
      <c r="F53" s="22"/>
    </row>
    <row r="54" spans="6:6" ht="13.2">
      <c r="F54" s="22"/>
    </row>
    <row r="55" spans="6:6" ht="13.2">
      <c r="F55" s="22"/>
    </row>
    <row r="56" spans="6:6" ht="13.2">
      <c r="F56" s="22"/>
    </row>
    <row r="57" spans="6:6" ht="13.2">
      <c r="F57" s="22"/>
    </row>
    <row r="58" spans="6:6" ht="13.2">
      <c r="F58" s="22"/>
    </row>
    <row r="59" spans="6:6" ht="13.2">
      <c r="F59" s="22"/>
    </row>
    <row r="60" spans="6:6" ht="13.2">
      <c r="F60" s="22"/>
    </row>
    <row r="61" spans="6:6" ht="13.2">
      <c r="F61" s="22"/>
    </row>
    <row r="62" spans="6:6" ht="13.2">
      <c r="F62" s="22"/>
    </row>
    <row r="63" spans="6:6" ht="13.2">
      <c r="F63" s="22"/>
    </row>
    <row r="64" spans="6:6" ht="13.2">
      <c r="F64" s="22"/>
    </row>
    <row r="65" spans="6:6" ht="13.2">
      <c r="F65" s="22"/>
    </row>
    <row r="66" spans="6:6" ht="13.2">
      <c r="F66" s="22"/>
    </row>
    <row r="67" spans="6:6" ht="13.2">
      <c r="F67" s="22"/>
    </row>
    <row r="68" spans="6:6" ht="13.2">
      <c r="F68" s="22"/>
    </row>
    <row r="69" spans="6:6" ht="13.2">
      <c r="F69" s="22"/>
    </row>
    <row r="70" spans="6:6" ht="13.2">
      <c r="F70" s="22"/>
    </row>
    <row r="71" spans="6:6" ht="13.2">
      <c r="F71" s="22"/>
    </row>
    <row r="72" spans="6:6" ht="13.2">
      <c r="F72" s="22"/>
    </row>
    <row r="73" spans="6:6" ht="13.2">
      <c r="F73" s="22"/>
    </row>
    <row r="74" spans="6:6" ht="13.2">
      <c r="F74" s="22"/>
    </row>
    <row r="75" spans="6:6" ht="13.2">
      <c r="F75" s="22"/>
    </row>
    <row r="76" spans="6:6" ht="13.2">
      <c r="F76" s="22"/>
    </row>
    <row r="77" spans="6:6" ht="13.2">
      <c r="F77" s="22"/>
    </row>
    <row r="78" spans="6:6" ht="13.2">
      <c r="F78" s="22"/>
    </row>
    <row r="79" spans="6:6" ht="13.2">
      <c r="F79" s="22"/>
    </row>
    <row r="80" spans="6:6" ht="13.2">
      <c r="F80" s="22"/>
    </row>
    <row r="81" spans="6:6" ht="13.2">
      <c r="F81" s="22"/>
    </row>
    <row r="82" spans="6:6" ht="13.2">
      <c r="F82" s="22"/>
    </row>
    <row r="83" spans="6:6" ht="13.2">
      <c r="F83" s="22"/>
    </row>
    <row r="84" spans="6:6" ht="13.2">
      <c r="F84" s="22"/>
    </row>
    <row r="85" spans="6:6" ht="13.2">
      <c r="F85" s="22"/>
    </row>
    <row r="86" spans="6:6" ht="13.2">
      <c r="F86" s="22"/>
    </row>
    <row r="87" spans="6:6" ht="13.2">
      <c r="F87" s="22"/>
    </row>
    <row r="88" spans="6:6" ht="13.2">
      <c r="F88" s="22"/>
    </row>
    <row r="89" spans="6:6" ht="13.2">
      <c r="F89" s="22"/>
    </row>
    <row r="90" spans="6:6" ht="13.2">
      <c r="F90" s="22"/>
    </row>
    <row r="91" spans="6:6" ht="13.2">
      <c r="F91" s="22"/>
    </row>
    <row r="92" spans="6:6" ht="13.2">
      <c r="F92" s="22"/>
    </row>
    <row r="93" spans="6:6" ht="13.2">
      <c r="F93" s="22"/>
    </row>
    <row r="94" spans="6:6" ht="13.2">
      <c r="F94" s="22"/>
    </row>
    <row r="95" spans="6:6" ht="13.2">
      <c r="F95" s="22"/>
    </row>
    <row r="96" spans="6:6" ht="13.2">
      <c r="F96" s="22"/>
    </row>
    <row r="97" spans="6:6" ht="13.2">
      <c r="F97" s="22"/>
    </row>
    <row r="98" spans="6:6" ht="13.2">
      <c r="F98" s="22"/>
    </row>
    <row r="99" spans="6:6" ht="13.2">
      <c r="F99" s="22"/>
    </row>
    <row r="100" spans="6:6" ht="13.2">
      <c r="F100" s="22"/>
    </row>
    <row r="101" spans="6:6" ht="13.2">
      <c r="F101" s="22"/>
    </row>
    <row r="102" spans="6:6" ht="13.2">
      <c r="F102" s="22"/>
    </row>
    <row r="103" spans="6:6" ht="13.2">
      <c r="F103" s="22"/>
    </row>
    <row r="104" spans="6:6" ht="13.2">
      <c r="F104" s="22"/>
    </row>
    <row r="105" spans="6:6" ht="13.2">
      <c r="F105" s="22"/>
    </row>
    <row r="106" spans="6:6" ht="13.2">
      <c r="F106" s="22"/>
    </row>
    <row r="107" spans="6:6" ht="13.2">
      <c r="F107" s="22"/>
    </row>
    <row r="108" spans="6:6" ht="13.2">
      <c r="F108" s="22"/>
    </row>
    <row r="109" spans="6:6" ht="13.2">
      <c r="F109" s="22"/>
    </row>
    <row r="110" spans="6:6" ht="13.2">
      <c r="F110" s="22"/>
    </row>
    <row r="111" spans="6:6" ht="13.2">
      <c r="F111" s="22"/>
    </row>
    <row r="112" spans="6:6" ht="13.2">
      <c r="F112" s="22"/>
    </row>
    <row r="113" spans="6:6" ht="13.2">
      <c r="F113" s="22"/>
    </row>
    <row r="114" spans="6:6" ht="13.2">
      <c r="F114" s="22"/>
    </row>
    <row r="115" spans="6:6" ht="13.2">
      <c r="F115" s="22"/>
    </row>
    <row r="116" spans="6:6" ht="13.2">
      <c r="F116" s="22"/>
    </row>
    <row r="117" spans="6:6" ht="13.2">
      <c r="F117" s="22"/>
    </row>
    <row r="118" spans="6:6" ht="13.2">
      <c r="F118" s="22"/>
    </row>
    <row r="119" spans="6:6" ht="13.2">
      <c r="F119" s="22"/>
    </row>
    <row r="120" spans="6:6" ht="13.2">
      <c r="F120" s="22"/>
    </row>
    <row r="121" spans="6:6" ht="13.2">
      <c r="F121" s="22"/>
    </row>
    <row r="122" spans="6:6" ht="13.2">
      <c r="F122" s="22"/>
    </row>
    <row r="123" spans="6:6" ht="13.2">
      <c r="F123" s="22"/>
    </row>
    <row r="124" spans="6:6" ht="13.2">
      <c r="F124" s="22"/>
    </row>
    <row r="125" spans="6:6" ht="13.2">
      <c r="F125" s="22"/>
    </row>
    <row r="126" spans="6:6" ht="13.2">
      <c r="F126" s="22"/>
    </row>
    <row r="127" spans="6:6" ht="13.2">
      <c r="F127" s="22"/>
    </row>
    <row r="128" spans="6:6" ht="13.2">
      <c r="F128" s="22"/>
    </row>
    <row r="129" spans="6:6" ht="13.2">
      <c r="F129" s="22"/>
    </row>
    <row r="130" spans="6:6" ht="13.2">
      <c r="F130" s="22"/>
    </row>
    <row r="131" spans="6:6" ht="13.2">
      <c r="F131" s="22"/>
    </row>
    <row r="132" spans="6:6" ht="13.2">
      <c r="F132" s="22"/>
    </row>
    <row r="133" spans="6:6" ht="13.2">
      <c r="F133" s="22"/>
    </row>
    <row r="134" spans="6:6" ht="13.2">
      <c r="F134" s="22"/>
    </row>
    <row r="135" spans="6:6" ht="13.2">
      <c r="F135" s="22"/>
    </row>
    <row r="136" spans="6:6" ht="13.2">
      <c r="F136" s="22"/>
    </row>
    <row r="137" spans="6:6" ht="13.2">
      <c r="F137" s="22"/>
    </row>
    <row r="138" spans="6:6" ht="13.2">
      <c r="F138" s="22"/>
    </row>
    <row r="139" spans="6:6" ht="13.2">
      <c r="F139" s="22"/>
    </row>
    <row r="140" spans="6:6" ht="13.2">
      <c r="F140" s="22"/>
    </row>
    <row r="141" spans="6:6" ht="13.2">
      <c r="F141" s="22"/>
    </row>
    <row r="142" spans="6:6" ht="13.2">
      <c r="F142" s="22"/>
    </row>
    <row r="143" spans="6:6" ht="13.2">
      <c r="F143" s="22"/>
    </row>
    <row r="144" spans="6:6" ht="13.2">
      <c r="F144" s="22"/>
    </row>
    <row r="145" spans="6:6" ht="13.2">
      <c r="F145" s="22"/>
    </row>
    <row r="146" spans="6:6" ht="13.2">
      <c r="F146" s="22"/>
    </row>
    <row r="147" spans="6:6" ht="13.2">
      <c r="F147" s="22"/>
    </row>
    <row r="148" spans="6:6" ht="13.2">
      <c r="F148" s="22"/>
    </row>
    <row r="149" spans="6:6" ht="13.2">
      <c r="F149" s="22"/>
    </row>
    <row r="150" spans="6:6" ht="13.2">
      <c r="F150" s="22"/>
    </row>
    <row r="151" spans="6:6" ht="13.2">
      <c r="F151" s="22"/>
    </row>
    <row r="152" spans="6:6" ht="13.2">
      <c r="F152" s="22"/>
    </row>
    <row r="153" spans="6:6" ht="13.2">
      <c r="F153" s="22"/>
    </row>
    <row r="154" spans="6:6" ht="13.2">
      <c r="F154" s="22"/>
    </row>
    <row r="155" spans="6:6" ht="13.2">
      <c r="F155" s="22"/>
    </row>
    <row r="156" spans="6:6" ht="13.2">
      <c r="F156" s="22"/>
    </row>
    <row r="157" spans="6:6" ht="13.2">
      <c r="F157" s="22"/>
    </row>
    <row r="158" spans="6:6" ht="13.2">
      <c r="F158" s="22"/>
    </row>
    <row r="159" spans="6:6" ht="13.2">
      <c r="F159" s="22"/>
    </row>
    <row r="160" spans="6:6" ht="13.2">
      <c r="F160" s="22"/>
    </row>
    <row r="161" spans="6:6" ht="13.2">
      <c r="F161" s="22"/>
    </row>
    <row r="162" spans="6:6" ht="13.2">
      <c r="F162" s="22"/>
    </row>
    <row r="163" spans="6:6" ht="13.2">
      <c r="F163" s="22"/>
    </row>
    <row r="164" spans="6:6" ht="13.2">
      <c r="F164" s="22"/>
    </row>
    <row r="165" spans="6:6" ht="13.2">
      <c r="F165" s="22"/>
    </row>
    <row r="166" spans="6:6" ht="13.2">
      <c r="F166" s="22"/>
    </row>
    <row r="167" spans="6:6" ht="13.2">
      <c r="F167" s="22"/>
    </row>
    <row r="168" spans="6:6" ht="13.2">
      <c r="F168" s="22"/>
    </row>
    <row r="169" spans="6:6" ht="13.2">
      <c r="F169" s="22"/>
    </row>
    <row r="170" spans="6:6" ht="13.2">
      <c r="F170" s="22"/>
    </row>
    <row r="171" spans="6:6" ht="13.2">
      <c r="F171" s="22"/>
    </row>
    <row r="172" spans="6:6" ht="13.2">
      <c r="F172" s="22"/>
    </row>
    <row r="173" spans="6:6" ht="13.2">
      <c r="F173" s="22"/>
    </row>
    <row r="174" spans="6:6" ht="13.2">
      <c r="F174" s="22"/>
    </row>
    <row r="175" spans="6:6" ht="13.2">
      <c r="F175" s="22"/>
    </row>
    <row r="176" spans="6:6" ht="13.2">
      <c r="F176" s="22"/>
    </row>
    <row r="177" spans="6:6" ht="13.2">
      <c r="F177" s="22"/>
    </row>
    <row r="178" spans="6:6" ht="13.2">
      <c r="F178" s="22"/>
    </row>
    <row r="179" spans="6:6" ht="13.2">
      <c r="F179" s="22"/>
    </row>
    <row r="180" spans="6:6" ht="13.2">
      <c r="F180" s="22"/>
    </row>
    <row r="181" spans="6:6" ht="13.2">
      <c r="F181" s="22"/>
    </row>
    <row r="182" spans="6:6" ht="13.2">
      <c r="F182" s="22"/>
    </row>
    <row r="183" spans="6:6" ht="13.2">
      <c r="F183" s="22"/>
    </row>
    <row r="184" spans="6:6" ht="13.2">
      <c r="F184" s="22"/>
    </row>
    <row r="185" spans="6:6" ht="13.2">
      <c r="F185" s="22"/>
    </row>
    <row r="186" spans="6:6" ht="13.2">
      <c r="F186" s="22"/>
    </row>
    <row r="187" spans="6:6" ht="13.2">
      <c r="F187" s="22"/>
    </row>
    <row r="188" spans="6:6" ht="13.2">
      <c r="F188" s="22"/>
    </row>
    <row r="189" spans="6:6" ht="13.2">
      <c r="F189" s="22"/>
    </row>
    <row r="190" spans="6:6" ht="13.2">
      <c r="F190" s="22"/>
    </row>
    <row r="191" spans="6:6" ht="13.2">
      <c r="F191" s="22"/>
    </row>
    <row r="192" spans="6:6" ht="13.2">
      <c r="F192" s="22"/>
    </row>
    <row r="193" spans="6:6" ht="13.2">
      <c r="F193" s="22"/>
    </row>
    <row r="194" spans="6:6" ht="13.2">
      <c r="F194" s="22"/>
    </row>
    <row r="195" spans="6:6" ht="13.2">
      <c r="F195" s="22"/>
    </row>
    <row r="196" spans="6:6" ht="13.2">
      <c r="F196" s="22"/>
    </row>
    <row r="197" spans="6:6" ht="13.2">
      <c r="F197" s="22"/>
    </row>
    <row r="198" spans="6:6" ht="13.2">
      <c r="F198" s="22"/>
    </row>
    <row r="199" spans="6:6" ht="13.2">
      <c r="F199" s="22"/>
    </row>
    <row r="200" spans="6:6" ht="13.2">
      <c r="F200" s="22"/>
    </row>
    <row r="201" spans="6:6" ht="13.2">
      <c r="F201" s="22"/>
    </row>
    <row r="202" spans="6:6" ht="13.2">
      <c r="F202" s="22"/>
    </row>
    <row r="203" spans="6:6" ht="13.2">
      <c r="F203" s="22"/>
    </row>
    <row r="204" spans="6:6" ht="13.2">
      <c r="F204" s="22"/>
    </row>
    <row r="205" spans="6:6" ht="13.2">
      <c r="F205" s="22"/>
    </row>
    <row r="206" spans="6:6" ht="13.2">
      <c r="F206" s="22"/>
    </row>
    <row r="207" spans="6:6" ht="13.2">
      <c r="F207" s="22"/>
    </row>
    <row r="208" spans="6:6" ht="13.2">
      <c r="F208" s="22"/>
    </row>
    <row r="209" spans="6:6" ht="13.2">
      <c r="F209" s="22"/>
    </row>
    <row r="210" spans="6:6" ht="13.2">
      <c r="F210" s="22"/>
    </row>
    <row r="211" spans="6:6" ht="13.2">
      <c r="F211" s="22"/>
    </row>
    <row r="212" spans="6:6" ht="13.2">
      <c r="F212" s="22"/>
    </row>
    <row r="213" spans="6:6" ht="13.2">
      <c r="F213" s="22"/>
    </row>
    <row r="214" spans="6:6" ht="13.2">
      <c r="F214" s="22"/>
    </row>
    <row r="215" spans="6:6" ht="13.2">
      <c r="F215" s="22"/>
    </row>
    <row r="216" spans="6:6" ht="13.2">
      <c r="F216" s="22"/>
    </row>
    <row r="217" spans="6:6" ht="13.2">
      <c r="F217" s="22"/>
    </row>
    <row r="218" spans="6:6" ht="13.2">
      <c r="F218" s="22"/>
    </row>
    <row r="219" spans="6:6" ht="13.2">
      <c r="F219" s="22"/>
    </row>
    <row r="220" spans="6:6" ht="13.2">
      <c r="F220" s="22"/>
    </row>
    <row r="221" spans="6:6" ht="13.2">
      <c r="F221" s="22"/>
    </row>
    <row r="222" spans="6:6" ht="13.2">
      <c r="F222" s="22"/>
    </row>
    <row r="223" spans="6:6" ht="13.2">
      <c r="F223" s="22"/>
    </row>
    <row r="224" spans="6:6" ht="13.2">
      <c r="F224" s="22"/>
    </row>
    <row r="225" spans="6:6" ht="13.2">
      <c r="F225" s="22"/>
    </row>
    <row r="226" spans="6:6" ht="13.2">
      <c r="F226" s="22"/>
    </row>
    <row r="227" spans="6:6" ht="13.2">
      <c r="F227" s="22"/>
    </row>
    <row r="228" spans="6:6" ht="13.2">
      <c r="F228" s="22"/>
    </row>
    <row r="229" spans="6:6" ht="13.2">
      <c r="F229" s="22"/>
    </row>
    <row r="230" spans="6:6" ht="13.2">
      <c r="F230" s="22"/>
    </row>
    <row r="231" spans="6:6" ht="13.2">
      <c r="F231" s="22"/>
    </row>
    <row r="232" spans="6:6" ht="13.2">
      <c r="F232" s="22"/>
    </row>
    <row r="233" spans="6:6" ht="13.2">
      <c r="F233" s="22"/>
    </row>
    <row r="234" spans="6:6" ht="13.2">
      <c r="F234" s="22"/>
    </row>
    <row r="235" spans="6:6" ht="13.2">
      <c r="F235" s="22"/>
    </row>
    <row r="236" spans="6:6" ht="13.2">
      <c r="F236" s="22"/>
    </row>
    <row r="237" spans="6:6" ht="13.2">
      <c r="F237" s="22"/>
    </row>
    <row r="238" spans="6:6" ht="13.2">
      <c r="F238" s="22"/>
    </row>
    <row r="239" spans="6:6" ht="13.2">
      <c r="F239" s="22"/>
    </row>
    <row r="240" spans="6:6" ht="13.2">
      <c r="F240" s="22"/>
    </row>
    <row r="241" spans="6:6" ht="13.2">
      <c r="F241" s="22"/>
    </row>
    <row r="242" spans="6:6" ht="13.2">
      <c r="F242" s="22"/>
    </row>
    <row r="243" spans="6:6" ht="13.2">
      <c r="F243" s="22"/>
    </row>
    <row r="244" spans="6:6" ht="13.2">
      <c r="F244" s="22"/>
    </row>
    <row r="245" spans="6:6" ht="13.2">
      <c r="F245" s="22"/>
    </row>
    <row r="246" spans="6:6" ht="13.2">
      <c r="F246" s="22"/>
    </row>
    <row r="247" spans="6:6" ht="13.2">
      <c r="F247" s="22"/>
    </row>
    <row r="248" spans="6:6" ht="13.2">
      <c r="F248" s="22"/>
    </row>
    <row r="249" spans="6:6" ht="13.2">
      <c r="F249" s="22"/>
    </row>
    <row r="250" spans="6:6" ht="13.2">
      <c r="F250" s="22"/>
    </row>
    <row r="251" spans="6:6" ht="13.2">
      <c r="F251" s="22"/>
    </row>
    <row r="252" spans="6:6" ht="13.2">
      <c r="F252" s="22"/>
    </row>
    <row r="253" spans="6:6" ht="13.2">
      <c r="F253" s="22"/>
    </row>
    <row r="254" spans="6:6" ht="13.2">
      <c r="F254" s="22"/>
    </row>
    <row r="255" spans="6:6" ht="13.2">
      <c r="F255" s="22"/>
    </row>
    <row r="256" spans="6:6" ht="13.2">
      <c r="F256" s="22"/>
    </row>
    <row r="257" spans="6:6" ht="13.2">
      <c r="F257" s="22"/>
    </row>
    <row r="258" spans="6:6" ht="13.2">
      <c r="F258" s="22"/>
    </row>
    <row r="259" spans="6:6" ht="13.2">
      <c r="F259" s="22"/>
    </row>
    <row r="260" spans="6:6" ht="13.2">
      <c r="F260" s="22"/>
    </row>
    <row r="261" spans="6:6" ht="13.2">
      <c r="F261" s="22"/>
    </row>
    <row r="262" spans="6:6" ht="13.2">
      <c r="F262" s="22"/>
    </row>
    <row r="263" spans="6:6" ht="13.2">
      <c r="F263" s="22"/>
    </row>
    <row r="264" spans="6:6" ht="13.2">
      <c r="F264" s="22"/>
    </row>
    <row r="265" spans="6:6" ht="13.2">
      <c r="F265" s="22"/>
    </row>
    <row r="266" spans="6:6" ht="13.2">
      <c r="F266" s="22"/>
    </row>
    <row r="267" spans="6:6" ht="13.2">
      <c r="F267" s="22"/>
    </row>
    <row r="268" spans="6:6" ht="13.2">
      <c r="F268" s="22"/>
    </row>
    <row r="269" spans="6:6" ht="13.2">
      <c r="F269" s="22"/>
    </row>
    <row r="270" spans="6:6" ht="13.2">
      <c r="F270" s="22"/>
    </row>
    <row r="271" spans="6:6" ht="13.2">
      <c r="F271" s="22"/>
    </row>
    <row r="272" spans="6:6" ht="13.2">
      <c r="F272" s="22"/>
    </row>
    <row r="273" spans="6:6" ht="13.2">
      <c r="F273" s="22"/>
    </row>
    <row r="274" spans="6:6" ht="13.2">
      <c r="F274" s="22"/>
    </row>
    <row r="275" spans="6:6" ht="13.2">
      <c r="F275" s="22"/>
    </row>
    <row r="276" spans="6:6" ht="13.2">
      <c r="F276" s="22"/>
    </row>
    <row r="277" spans="6:6" ht="13.2">
      <c r="F277" s="22"/>
    </row>
    <row r="278" spans="6:6" ht="13.2">
      <c r="F278" s="22"/>
    </row>
    <row r="279" spans="6:6" ht="13.2">
      <c r="F279" s="22"/>
    </row>
    <row r="280" spans="6:6" ht="13.2">
      <c r="F280" s="22"/>
    </row>
    <row r="281" spans="6:6" ht="13.2">
      <c r="F281" s="22"/>
    </row>
    <row r="282" spans="6:6" ht="13.2">
      <c r="F282" s="22"/>
    </row>
    <row r="283" spans="6:6" ht="13.2">
      <c r="F283" s="22"/>
    </row>
    <row r="284" spans="6:6" ht="13.2">
      <c r="F284" s="22"/>
    </row>
    <row r="285" spans="6:6" ht="13.2">
      <c r="F285" s="22"/>
    </row>
    <row r="286" spans="6:6" ht="13.2">
      <c r="F286" s="22"/>
    </row>
    <row r="287" spans="6:6" ht="13.2">
      <c r="F287" s="22"/>
    </row>
    <row r="288" spans="6:6" ht="13.2">
      <c r="F288" s="22"/>
    </row>
    <row r="289" spans="6:6" ht="13.2">
      <c r="F289" s="22"/>
    </row>
    <row r="290" spans="6:6" ht="13.2">
      <c r="F290" s="22"/>
    </row>
    <row r="291" spans="6:6" ht="13.2">
      <c r="F291" s="22"/>
    </row>
    <row r="292" spans="6:6" ht="13.2">
      <c r="F292" s="22"/>
    </row>
    <row r="293" spans="6:6" ht="13.2">
      <c r="F293" s="22"/>
    </row>
    <row r="294" spans="6:6" ht="13.2">
      <c r="F294" s="22"/>
    </row>
    <row r="295" spans="6:6" ht="13.2">
      <c r="F295" s="22"/>
    </row>
    <row r="296" spans="6:6" ht="13.2">
      <c r="F296" s="22"/>
    </row>
    <row r="297" spans="6:6" ht="13.2">
      <c r="F297" s="22"/>
    </row>
    <row r="298" spans="6:6" ht="13.2">
      <c r="F298" s="22"/>
    </row>
    <row r="299" spans="6:6" ht="13.2">
      <c r="F299" s="22"/>
    </row>
    <row r="300" spans="6:6" ht="13.2">
      <c r="F300" s="22"/>
    </row>
    <row r="301" spans="6:6" ht="13.2">
      <c r="F301" s="22"/>
    </row>
    <row r="302" spans="6:6" ht="13.2">
      <c r="F302" s="22"/>
    </row>
    <row r="303" spans="6:6" ht="13.2">
      <c r="F303" s="22"/>
    </row>
    <row r="304" spans="6:6" ht="13.2">
      <c r="F304" s="22"/>
    </row>
    <row r="305" spans="6:6" ht="13.2">
      <c r="F305" s="22"/>
    </row>
    <row r="306" spans="6:6" ht="13.2">
      <c r="F306" s="22"/>
    </row>
    <row r="307" spans="6:6" ht="13.2">
      <c r="F307" s="22"/>
    </row>
    <row r="308" spans="6:6" ht="13.2">
      <c r="F308" s="22"/>
    </row>
    <row r="309" spans="6:6" ht="13.2">
      <c r="F309" s="22"/>
    </row>
    <row r="310" spans="6:6" ht="13.2">
      <c r="F310" s="22"/>
    </row>
    <row r="311" spans="6:6" ht="13.2">
      <c r="F311" s="22"/>
    </row>
    <row r="312" spans="6:6" ht="13.2">
      <c r="F312" s="22"/>
    </row>
    <row r="313" spans="6:6" ht="13.2">
      <c r="F313" s="22"/>
    </row>
    <row r="314" spans="6:6" ht="13.2">
      <c r="F314" s="22"/>
    </row>
    <row r="315" spans="6:6" ht="13.2">
      <c r="F315" s="22"/>
    </row>
    <row r="316" spans="6:6" ht="13.2">
      <c r="F316" s="22"/>
    </row>
    <row r="317" spans="6:6" ht="13.2">
      <c r="F317" s="22"/>
    </row>
    <row r="318" spans="6:6" ht="13.2">
      <c r="F318" s="22"/>
    </row>
    <row r="319" spans="6:6" ht="13.2">
      <c r="F319" s="22"/>
    </row>
    <row r="320" spans="6:6" ht="13.2">
      <c r="F320" s="22"/>
    </row>
    <row r="321" spans="6:6" ht="13.2">
      <c r="F321" s="22"/>
    </row>
    <row r="322" spans="6:6" ht="13.2">
      <c r="F322" s="22"/>
    </row>
    <row r="323" spans="6:6" ht="13.2">
      <c r="F323" s="22"/>
    </row>
    <row r="324" spans="6:6" ht="13.2">
      <c r="F324" s="22"/>
    </row>
    <row r="325" spans="6:6" ht="13.2">
      <c r="F325" s="22"/>
    </row>
    <row r="326" spans="6:6" ht="13.2">
      <c r="F326" s="22"/>
    </row>
    <row r="327" spans="6:6" ht="13.2">
      <c r="F327" s="22"/>
    </row>
    <row r="328" spans="6:6" ht="13.2">
      <c r="F328" s="22"/>
    </row>
    <row r="329" spans="6:6" ht="13.2">
      <c r="F329" s="22"/>
    </row>
    <row r="330" spans="6:6" ht="13.2">
      <c r="F330" s="22"/>
    </row>
    <row r="331" spans="6:6" ht="13.2">
      <c r="F331" s="22"/>
    </row>
    <row r="332" spans="6:6" ht="13.2">
      <c r="F332" s="22"/>
    </row>
    <row r="333" spans="6:6" ht="13.2">
      <c r="F333" s="22"/>
    </row>
    <row r="334" spans="6:6" ht="13.2">
      <c r="F334" s="22"/>
    </row>
    <row r="335" spans="6:6" ht="13.2">
      <c r="F335" s="22"/>
    </row>
    <row r="336" spans="6:6" ht="13.2">
      <c r="F336" s="22"/>
    </row>
    <row r="337" spans="6:6" ht="13.2">
      <c r="F337" s="22"/>
    </row>
    <row r="338" spans="6:6" ht="13.2">
      <c r="F338" s="22"/>
    </row>
    <row r="339" spans="6:6" ht="13.2">
      <c r="F339" s="22"/>
    </row>
    <row r="340" spans="6:6" ht="13.2">
      <c r="F340" s="22"/>
    </row>
    <row r="341" spans="6:6" ht="13.2">
      <c r="F341" s="22"/>
    </row>
    <row r="342" spans="6:6" ht="13.2">
      <c r="F342" s="22"/>
    </row>
    <row r="343" spans="6:6" ht="13.2">
      <c r="F343" s="22"/>
    </row>
    <row r="344" spans="6:6" ht="13.2">
      <c r="F344" s="22"/>
    </row>
    <row r="345" spans="6:6" ht="13.2">
      <c r="F345" s="22"/>
    </row>
    <row r="346" spans="6:6" ht="13.2">
      <c r="F346" s="22"/>
    </row>
    <row r="347" spans="6:6" ht="13.2">
      <c r="F347" s="22"/>
    </row>
    <row r="348" spans="6:6" ht="13.2">
      <c r="F348" s="22"/>
    </row>
    <row r="349" spans="6:6" ht="13.2">
      <c r="F349" s="22"/>
    </row>
    <row r="350" spans="6:6" ht="13.2">
      <c r="F350" s="22"/>
    </row>
    <row r="351" spans="6:6" ht="13.2">
      <c r="F351" s="22"/>
    </row>
    <row r="352" spans="6:6" ht="13.2">
      <c r="F352" s="22"/>
    </row>
    <row r="353" spans="6:6" ht="13.2">
      <c r="F353" s="22"/>
    </row>
    <row r="354" spans="6:6" ht="13.2">
      <c r="F354" s="22"/>
    </row>
    <row r="355" spans="6:6" ht="13.2">
      <c r="F355" s="22"/>
    </row>
    <row r="356" spans="6:6" ht="13.2">
      <c r="F356" s="22"/>
    </row>
    <row r="357" spans="6:6" ht="13.2">
      <c r="F357" s="22"/>
    </row>
    <row r="358" spans="6:6" ht="13.2">
      <c r="F358" s="22"/>
    </row>
    <row r="359" spans="6:6" ht="13.2">
      <c r="F359" s="22"/>
    </row>
    <row r="360" spans="6:6" ht="13.2">
      <c r="F360" s="22"/>
    </row>
    <row r="361" spans="6:6" ht="13.2">
      <c r="F361" s="22"/>
    </row>
    <row r="362" spans="6:6" ht="13.2">
      <c r="F362" s="22"/>
    </row>
    <row r="363" spans="6:6" ht="13.2">
      <c r="F363" s="22"/>
    </row>
    <row r="364" spans="6:6" ht="13.2">
      <c r="F364" s="22"/>
    </row>
    <row r="365" spans="6:6" ht="13.2">
      <c r="F365" s="22"/>
    </row>
    <row r="366" spans="6:6" ht="13.2">
      <c r="F366" s="22"/>
    </row>
    <row r="367" spans="6:6" ht="13.2">
      <c r="F367" s="22"/>
    </row>
    <row r="368" spans="6:6" ht="13.2">
      <c r="F368" s="22"/>
    </row>
    <row r="369" spans="6:6" ht="13.2">
      <c r="F369" s="22"/>
    </row>
    <row r="370" spans="6:6" ht="13.2">
      <c r="F370" s="22"/>
    </row>
    <row r="371" spans="6:6" ht="13.2">
      <c r="F371" s="22"/>
    </row>
    <row r="372" spans="6:6" ht="13.2">
      <c r="F372" s="22"/>
    </row>
    <row r="373" spans="6:6" ht="13.2">
      <c r="F373" s="22"/>
    </row>
    <row r="374" spans="6:6" ht="13.2">
      <c r="F374" s="22"/>
    </row>
    <row r="375" spans="6:6" ht="13.2">
      <c r="F375" s="22"/>
    </row>
    <row r="376" spans="6:6" ht="13.2">
      <c r="F376" s="22"/>
    </row>
    <row r="377" spans="6:6" ht="13.2">
      <c r="F377" s="22"/>
    </row>
    <row r="378" spans="6:6" ht="13.2">
      <c r="F378" s="22"/>
    </row>
    <row r="379" spans="6:6" ht="13.2">
      <c r="F379" s="22"/>
    </row>
    <row r="380" spans="6:6" ht="13.2">
      <c r="F380" s="22"/>
    </row>
    <row r="381" spans="6:6" ht="13.2">
      <c r="F381" s="22"/>
    </row>
    <row r="382" spans="6:6" ht="13.2">
      <c r="F382" s="22"/>
    </row>
    <row r="383" spans="6:6" ht="13.2">
      <c r="F383" s="22"/>
    </row>
    <row r="384" spans="6:6" ht="13.2">
      <c r="F384" s="22"/>
    </row>
    <row r="385" spans="6:6" ht="13.2">
      <c r="F385" s="22"/>
    </row>
    <row r="386" spans="6:6" ht="13.2">
      <c r="F386" s="22"/>
    </row>
    <row r="387" spans="6:6" ht="13.2">
      <c r="F387" s="22"/>
    </row>
    <row r="388" spans="6:6" ht="13.2">
      <c r="F388" s="22"/>
    </row>
    <row r="389" spans="6:6" ht="13.2">
      <c r="F389" s="22"/>
    </row>
    <row r="390" spans="6:6" ht="13.2">
      <c r="F390" s="22"/>
    </row>
    <row r="391" spans="6:6" ht="13.2">
      <c r="F391" s="22"/>
    </row>
    <row r="392" spans="6:6" ht="13.2">
      <c r="F392" s="22"/>
    </row>
    <row r="393" spans="6:6" ht="13.2">
      <c r="F393" s="22"/>
    </row>
    <row r="394" spans="6:6" ht="13.2">
      <c r="F394" s="22"/>
    </row>
    <row r="395" spans="6:6" ht="13.2">
      <c r="F395" s="22"/>
    </row>
    <row r="396" spans="6:6" ht="13.2">
      <c r="F396" s="22"/>
    </row>
    <row r="397" spans="6:6" ht="13.2">
      <c r="F397" s="22"/>
    </row>
    <row r="398" spans="6:6" ht="13.2">
      <c r="F398" s="22"/>
    </row>
    <row r="399" spans="6:6" ht="13.2">
      <c r="F399" s="22"/>
    </row>
    <row r="400" spans="6:6" ht="13.2">
      <c r="F400" s="22"/>
    </row>
    <row r="401" spans="6:6" ht="13.2">
      <c r="F401" s="22"/>
    </row>
    <row r="402" spans="6:6" ht="13.2">
      <c r="F402" s="22"/>
    </row>
    <row r="403" spans="6:6" ht="13.2">
      <c r="F403" s="22"/>
    </row>
    <row r="404" spans="6:6" ht="13.2">
      <c r="F404" s="22"/>
    </row>
    <row r="405" spans="6:6" ht="13.2">
      <c r="F405" s="22"/>
    </row>
    <row r="406" spans="6:6" ht="13.2">
      <c r="F406" s="22"/>
    </row>
    <row r="407" spans="6:6" ht="13.2">
      <c r="F407" s="22"/>
    </row>
    <row r="408" spans="6:6" ht="13.2">
      <c r="F408" s="22"/>
    </row>
    <row r="409" spans="6:6" ht="13.2">
      <c r="F409" s="22"/>
    </row>
    <row r="410" spans="6:6" ht="13.2">
      <c r="F410" s="22"/>
    </row>
    <row r="411" spans="6:6" ht="13.2">
      <c r="F411" s="22"/>
    </row>
    <row r="412" spans="6:6" ht="13.2">
      <c r="F412" s="22"/>
    </row>
    <row r="413" spans="6:6" ht="13.2">
      <c r="F413" s="22"/>
    </row>
    <row r="414" spans="6:6" ht="13.2">
      <c r="F414" s="22"/>
    </row>
    <row r="415" spans="6:6" ht="13.2">
      <c r="F415" s="22"/>
    </row>
    <row r="416" spans="6:6" ht="13.2">
      <c r="F416" s="22"/>
    </row>
    <row r="417" spans="6:6" ht="13.2">
      <c r="F417" s="22"/>
    </row>
    <row r="418" spans="6:6" ht="13.2">
      <c r="F418" s="22"/>
    </row>
    <row r="419" spans="6:6" ht="13.2">
      <c r="F419" s="22"/>
    </row>
    <row r="420" spans="6:6" ht="13.2">
      <c r="F420" s="22"/>
    </row>
    <row r="421" spans="6:6" ht="13.2">
      <c r="F421" s="22"/>
    </row>
    <row r="422" spans="6:6" ht="13.2">
      <c r="F422" s="22"/>
    </row>
    <row r="423" spans="6:6" ht="13.2">
      <c r="F423" s="22"/>
    </row>
    <row r="424" spans="6:6" ht="13.2">
      <c r="F424" s="22"/>
    </row>
    <row r="425" spans="6:6" ht="13.2">
      <c r="F425" s="22"/>
    </row>
    <row r="426" spans="6:6" ht="13.2">
      <c r="F426" s="22"/>
    </row>
    <row r="427" spans="6:6" ht="13.2">
      <c r="F427" s="22"/>
    </row>
    <row r="428" spans="6:6" ht="13.2">
      <c r="F428" s="22"/>
    </row>
    <row r="429" spans="6:6" ht="13.2">
      <c r="F429" s="22"/>
    </row>
    <row r="430" spans="6:6" ht="13.2">
      <c r="F430" s="22"/>
    </row>
    <row r="431" spans="6:6" ht="13.2">
      <c r="F431" s="22"/>
    </row>
    <row r="432" spans="6:6" ht="13.2">
      <c r="F432" s="22"/>
    </row>
    <row r="433" spans="6:6" ht="13.2">
      <c r="F433" s="22"/>
    </row>
    <row r="434" spans="6:6" ht="13.2">
      <c r="F434" s="22"/>
    </row>
    <row r="435" spans="6:6" ht="13.2">
      <c r="F435" s="22"/>
    </row>
    <row r="436" spans="6:6" ht="13.2">
      <c r="F436" s="22"/>
    </row>
    <row r="437" spans="6:6" ht="13.2">
      <c r="F437" s="22"/>
    </row>
    <row r="438" spans="6:6" ht="13.2">
      <c r="F438" s="22"/>
    </row>
    <row r="439" spans="6:6" ht="13.2">
      <c r="F439" s="22"/>
    </row>
    <row r="440" spans="6:6" ht="13.2">
      <c r="F440" s="22"/>
    </row>
    <row r="441" spans="6:6" ht="13.2">
      <c r="F441" s="22"/>
    </row>
    <row r="442" spans="6:6" ht="13.2">
      <c r="F442" s="22"/>
    </row>
    <row r="443" spans="6:6" ht="13.2">
      <c r="F443" s="22"/>
    </row>
    <row r="444" spans="6:6" ht="13.2">
      <c r="F444" s="22"/>
    </row>
    <row r="445" spans="6:6" ht="13.2">
      <c r="F445" s="22"/>
    </row>
    <row r="446" spans="6:6" ht="13.2">
      <c r="F446" s="22"/>
    </row>
    <row r="447" spans="6:6" ht="13.2">
      <c r="F447" s="22"/>
    </row>
    <row r="448" spans="6:6" ht="13.2">
      <c r="F448" s="22"/>
    </row>
    <row r="449" spans="6:6" ht="13.2">
      <c r="F449" s="22"/>
    </row>
    <row r="450" spans="6:6" ht="13.2">
      <c r="F450" s="22"/>
    </row>
    <row r="451" spans="6:6" ht="13.2">
      <c r="F451" s="22"/>
    </row>
    <row r="452" spans="6:6" ht="13.2">
      <c r="F452" s="22"/>
    </row>
    <row r="453" spans="6:6" ht="13.2">
      <c r="F453" s="22"/>
    </row>
    <row r="454" spans="6:6" ht="13.2">
      <c r="F454" s="22"/>
    </row>
    <row r="455" spans="6:6" ht="13.2">
      <c r="F455" s="22"/>
    </row>
    <row r="456" spans="6:6" ht="13.2">
      <c r="F456" s="22"/>
    </row>
    <row r="457" spans="6:6" ht="13.2">
      <c r="F457" s="22"/>
    </row>
    <row r="458" spans="6:6" ht="13.2">
      <c r="F458" s="22"/>
    </row>
    <row r="459" spans="6:6" ht="13.2">
      <c r="F459" s="22"/>
    </row>
    <row r="460" spans="6:6" ht="13.2">
      <c r="F460" s="22"/>
    </row>
    <row r="461" spans="6:6" ht="13.2">
      <c r="F461" s="22"/>
    </row>
    <row r="462" spans="6:6" ht="13.2">
      <c r="F462" s="22"/>
    </row>
    <row r="463" spans="6:6" ht="13.2">
      <c r="F463" s="22"/>
    </row>
    <row r="464" spans="6:6" ht="13.2">
      <c r="F464" s="22"/>
    </row>
    <row r="465" spans="6:6" ht="13.2">
      <c r="F465" s="22"/>
    </row>
    <row r="466" spans="6:6" ht="13.2">
      <c r="F466" s="22"/>
    </row>
    <row r="467" spans="6:6" ht="13.2">
      <c r="F467" s="22"/>
    </row>
    <row r="468" spans="6:6" ht="13.2">
      <c r="F468" s="22"/>
    </row>
    <row r="469" spans="6:6" ht="13.2">
      <c r="F469" s="22"/>
    </row>
    <row r="470" spans="6:6" ht="13.2">
      <c r="F470" s="22"/>
    </row>
    <row r="471" spans="6:6" ht="13.2">
      <c r="F471" s="22"/>
    </row>
    <row r="472" spans="6:6" ht="13.2">
      <c r="F472" s="22"/>
    </row>
    <row r="473" spans="6:6" ht="13.2">
      <c r="F473" s="22"/>
    </row>
    <row r="474" spans="6:6" ht="13.2">
      <c r="F474" s="22"/>
    </row>
    <row r="475" spans="6:6" ht="13.2">
      <c r="F475" s="22"/>
    </row>
    <row r="476" spans="6:6" ht="13.2">
      <c r="F476" s="22"/>
    </row>
    <row r="477" spans="6:6" ht="13.2">
      <c r="F477" s="22"/>
    </row>
    <row r="478" spans="6:6" ht="13.2">
      <c r="F478" s="22"/>
    </row>
    <row r="479" spans="6:6" ht="13.2">
      <c r="F479" s="22"/>
    </row>
    <row r="480" spans="6:6" ht="13.2">
      <c r="F480" s="22"/>
    </row>
    <row r="481" spans="6:6" ht="13.2">
      <c r="F481" s="22"/>
    </row>
    <row r="482" spans="6:6" ht="13.2">
      <c r="F482" s="22"/>
    </row>
    <row r="483" spans="6:6" ht="13.2">
      <c r="F483" s="22"/>
    </row>
    <row r="484" spans="6:6" ht="13.2">
      <c r="F484" s="22"/>
    </row>
    <row r="485" spans="6:6" ht="13.2">
      <c r="F485" s="22"/>
    </row>
    <row r="486" spans="6:6" ht="13.2">
      <c r="F486" s="22"/>
    </row>
    <row r="487" spans="6:6" ht="13.2">
      <c r="F487" s="22"/>
    </row>
    <row r="488" spans="6:6" ht="13.2">
      <c r="F488" s="22"/>
    </row>
    <row r="489" spans="6:6" ht="13.2">
      <c r="F489" s="22"/>
    </row>
    <row r="490" spans="6:6" ht="13.2">
      <c r="F490" s="22"/>
    </row>
    <row r="491" spans="6:6" ht="13.2">
      <c r="F491" s="22"/>
    </row>
    <row r="492" spans="6:6" ht="13.2">
      <c r="F492" s="22"/>
    </row>
    <row r="493" spans="6:6" ht="13.2">
      <c r="F493" s="22"/>
    </row>
    <row r="494" spans="6:6" ht="13.2">
      <c r="F494" s="22"/>
    </row>
    <row r="495" spans="6:6" ht="13.2">
      <c r="F495" s="22"/>
    </row>
    <row r="496" spans="6:6" ht="13.2">
      <c r="F496" s="22"/>
    </row>
    <row r="497" spans="6:6" ht="13.2">
      <c r="F497" s="22"/>
    </row>
    <row r="498" spans="6:6" ht="13.2">
      <c r="F498" s="22"/>
    </row>
    <row r="499" spans="6:6" ht="13.2">
      <c r="F499" s="22"/>
    </row>
    <row r="500" spans="6:6" ht="13.2">
      <c r="F500" s="22"/>
    </row>
    <row r="501" spans="6:6" ht="13.2">
      <c r="F501" s="22"/>
    </row>
    <row r="502" spans="6:6" ht="13.2">
      <c r="F502" s="22"/>
    </row>
    <row r="503" spans="6:6" ht="13.2">
      <c r="F503" s="22"/>
    </row>
    <row r="504" spans="6:6" ht="13.2">
      <c r="F504" s="22"/>
    </row>
    <row r="505" spans="6:6" ht="13.2">
      <c r="F505" s="22"/>
    </row>
    <row r="506" spans="6:6" ht="13.2">
      <c r="F506" s="22"/>
    </row>
    <row r="507" spans="6:6" ht="13.2">
      <c r="F507" s="22"/>
    </row>
    <row r="508" spans="6:6" ht="13.2">
      <c r="F508" s="22"/>
    </row>
    <row r="509" spans="6:6" ht="13.2">
      <c r="F509" s="22"/>
    </row>
    <row r="510" spans="6:6" ht="13.2">
      <c r="F510" s="22"/>
    </row>
    <row r="511" spans="6:6" ht="13.2">
      <c r="F511" s="22"/>
    </row>
    <row r="512" spans="6:6" ht="13.2">
      <c r="F512" s="22"/>
    </row>
    <row r="513" spans="6:6" ht="13.2">
      <c r="F513" s="22"/>
    </row>
    <row r="514" spans="6:6" ht="13.2">
      <c r="F514" s="22"/>
    </row>
    <row r="515" spans="6:6" ht="13.2">
      <c r="F515" s="22"/>
    </row>
    <row r="516" spans="6:6" ht="13.2">
      <c r="F516" s="22"/>
    </row>
    <row r="517" spans="6:6" ht="13.2">
      <c r="F517" s="22"/>
    </row>
    <row r="518" spans="6:6" ht="13.2">
      <c r="F518" s="22"/>
    </row>
    <row r="519" spans="6:6" ht="13.2">
      <c r="F519" s="22"/>
    </row>
    <row r="520" spans="6:6" ht="13.2">
      <c r="F520" s="22"/>
    </row>
    <row r="521" spans="6:6" ht="13.2">
      <c r="F521" s="22"/>
    </row>
    <row r="522" spans="6:6" ht="13.2">
      <c r="F522" s="22"/>
    </row>
    <row r="523" spans="6:6" ht="13.2">
      <c r="F523" s="22"/>
    </row>
    <row r="524" spans="6:6" ht="13.2">
      <c r="F524" s="22"/>
    </row>
    <row r="525" spans="6:6" ht="13.2">
      <c r="F525" s="22"/>
    </row>
    <row r="526" spans="6:6" ht="13.2">
      <c r="F526" s="22"/>
    </row>
    <row r="527" spans="6:6" ht="13.2">
      <c r="F527" s="22"/>
    </row>
    <row r="528" spans="6:6" ht="13.2">
      <c r="F528" s="22"/>
    </row>
    <row r="529" spans="6:6" ht="13.2">
      <c r="F529" s="22"/>
    </row>
    <row r="530" spans="6:6" ht="13.2">
      <c r="F530" s="22"/>
    </row>
    <row r="531" spans="6:6" ht="13.2">
      <c r="F531" s="22"/>
    </row>
    <row r="532" spans="6:6" ht="13.2">
      <c r="F532" s="22"/>
    </row>
    <row r="533" spans="6:6" ht="13.2">
      <c r="F533" s="22"/>
    </row>
    <row r="534" spans="6:6" ht="13.2">
      <c r="F534" s="22"/>
    </row>
    <row r="535" spans="6:6" ht="13.2">
      <c r="F535" s="22"/>
    </row>
    <row r="536" spans="6:6" ht="13.2">
      <c r="F536" s="22"/>
    </row>
    <row r="537" spans="6:6" ht="13.2">
      <c r="F537" s="22"/>
    </row>
    <row r="538" spans="6:6" ht="13.2">
      <c r="F538" s="22"/>
    </row>
    <row r="539" spans="6:6" ht="13.2">
      <c r="F539" s="22"/>
    </row>
    <row r="540" spans="6:6" ht="13.2">
      <c r="F540" s="22"/>
    </row>
    <row r="541" spans="6:6" ht="13.2">
      <c r="F541" s="22"/>
    </row>
    <row r="542" spans="6:6" ht="13.2">
      <c r="F542" s="22"/>
    </row>
    <row r="543" spans="6:6" ht="13.2">
      <c r="F543" s="22"/>
    </row>
    <row r="544" spans="6:6" ht="13.2">
      <c r="F544" s="22"/>
    </row>
    <row r="545" spans="6:6" ht="13.2">
      <c r="F545" s="22"/>
    </row>
    <row r="546" spans="6:6" ht="13.2">
      <c r="F546" s="22"/>
    </row>
    <row r="547" spans="6:6" ht="13.2">
      <c r="F547" s="22"/>
    </row>
    <row r="548" spans="6:6" ht="13.2">
      <c r="F548" s="22"/>
    </row>
    <row r="549" spans="6:6" ht="13.2">
      <c r="F549" s="22"/>
    </row>
    <row r="550" spans="6:6" ht="13.2">
      <c r="F550" s="22"/>
    </row>
    <row r="551" spans="6:6" ht="13.2">
      <c r="F551" s="22"/>
    </row>
    <row r="552" spans="6:6" ht="13.2">
      <c r="F552" s="22"/>
    </row>
    <row r="553" spans="6:6" ht="13.2">
      <c r="F553" s="22"/>
    </row>
    <row r="554" spans="6:6" ht="13.2">
      <c r="F554" s="22"/>
    </row>
    <row r="555" spans="6:6" ht="13.2">
      <c r="F555" s="22"/>
    </row>
    <row r="556" spans="6:6" ht="13.2">
      <c r="F556" s="22"/>
    </row>
    <row r="557" spans="6:6" ht="13.2">
      <c r="F557" s="22"/>
    </row>
    <row r="558" spans="6:6" ht="13.2">
      <c r="F558" s="22"/>
    </row>
    <row r="559" spans="6:6" ht="13.2">
      <c r="F559" s="22"/>
    </row>
    <row r="560" spans="6:6" ht="13.2">
      <c r="F560" s="22"/>
    </row>
    <row r="561" spans="6:6" ht="13.2">
      <c r="F561" s="22"/>
    </row>
    <row r="562" spans="6:6" ht="13.2">
      <c r="F562" s="22"/>
    </row>
    <row r="563" spans="6:6" ht="13.2">
      <c r="F563" s="22"/>
    </row>
    <row r="564" spans="6:6" ht="13.2">
      <c r="F564" s="22"/>
    </row>
    <row r="565" spans="6:6" ht="13.2">
      <c r="F565" s="22"/>
    </row>
    <row r="566" spans="6:6" ht="13.2">
      <c r="F566" s="22"/>
    </row>
    <row r="567" spans="6:6" ht="13.2">
      <c r="F567" s="22"/>
    </row>
    <row r="568" spans="6:6" ht="13.2">
      <c r="F568" s="22"/>
    </row>
    <row r="569" spans="6:6" ht="13.2">
      <c r="F569" s="22"/>
    </row>
    <row r="570" spans="6:6" ht="13.2">
      <c r="F570" s="22"/>
    </row>
    <row r="571" spans="6:6" ht="13.2">
      <c r="F571" s="22"/>
    </row>
    <row r="572" spans="6:6" ht="13.2">
      <c r="F572" s="22"/>
    </row>
    <row r="573" spans="6:6" ht="13.2">
      <c r="F573" s="22"/>
    </row>
    <row r="574" spans="6:6" ht="13.2">
      <c r="F574" s="22"/>
    </row>
    <row r="575" spans="6:6" ht="13.2">
      <c r="F575" s="22"/>
    </row>
    <row r="576" spans="6:6" ht="13.2">
      <c r="F576" s="22"/>
    </row>
    <row r="577" spans="6:6" ht="13.2">
      <c r="F577" s="22"/>
    </row>
    <row r="578" spans="6:6" ht="13.2">
      <c r="F578" s="22"/>
    </row>
    <row r="579" spans="6:6" ht="13.2">
      <c r="F579" s="22"/>
    </row>
    <row r="580" spans="6:6" ht="13.2">
      <c r="F580" s="22"/>
    </row>
    <row r="581" spans="6:6" ht="13.2">
      <c r="F581" s="22"/>
    </row>
    <row r="582" spans="6:6" ht="13.2">
      <c r="F582" s="22"/>
    </row>
    <row r="583" spans="6:6" ht="13.2">
      <c r="F583" s="22"/>
    </row>
    <row r="584" spans="6:6" ht="13.2">
      <c r="F584" s="22"/>
    </row>
    <row r="585" spans="6:6" ht="13.2">
      <c r="F585" s="22"/>
    </row>
    <row r="586" spans="6:6" ht="13.2">
      <c r="F586" s="22"/>
    </row>
    <row r="587" spans="6:6" ht="13.2">
      <c r="F587" s="22"/>
    </row>
    <row r="588" spans="6:6" ht="13.2">
      <c r="F588" s="22"/>
    </row>
    <row r="589" spans="6:6" ht="13.2">
      <c r="F589" s="22"/>
    </row>
    <row r="590" spans="6:6" ht="13.2">
      <c r="F590" s="22"/>
    </row>
    <row r="591" spans="6:6" ht="13.2">
      <c r="F591" s="22"/>
    </row>
    <row r="592" spans="6:6" ht="13.2">
      <c r="F592" s="22"/>
    </row>
    <row r="593" spans="6:6" ht="13.2">
      <c r="F593" s="22"/>
    </row>
    <row r="594" spans="6:6" ht="13.2">
      <c r="F594" s="22"/>
    </row>
    <row r="595" spans="6:6" ht="13.2">
      <c r="F595" s="22"/>
    </row>
    <row r="596" spans="6:6" ht="13.2">
      <c r="F596" s="22"/>
    </row>
    <row r="597" spans="6:6" ht="13.2">
      <c r="F597" s="22"/>
    </row>
    <row r="598" spans="6:6" ht="13.2">
      <c r="F598" s="22"/>
    </row>
    <row r="599" spans="6:6" ht="13.2">
      <c r="F599" s="22"/>
    </row>
    <row r="600" spans="6:6" ht="13.2">
      <c r="F600" s="22"/>
    </row>
    <row r="601" spans="6:6" ht="13.2">
      <c r="F601" s="22"/>
    </row>
    <row r="602" spans="6:6" ht="13.2">
      <c r="F602" s="22"/>
    </row>
    <row r="603" spans="6:6" ht="13.2">
      <c r="F603" s="22"/>
    </row>
    <row r="604" spans="6:6" ht="13.2">
      <c r="F604" s="22"/>
    </row>
    <row r="605" spans="6:6" ht="13.2">
      <c r="F605" s="22"/>
    </row>
    <row r="606" spans="6:6" ht="13.2">
      <c r="F606" s="22"/>
    </row>
    <row r="607" spans="6:6" ht="13.2">
      <c r="F607" s="22"/>
    </row>
    <row r="608" spans="6:6" ht="13.2">
      <c r="F608" s="22"/>
    </row>
    <row r="609" spans="6:6" ht="13.2">
      <c r="F609" s="22"/>
    </row>
    <row r="610" spans="6:6" ht="13.2">
      <c r="F610" s="22"/>
    </row>
    <row r="611" spans="6:6" ht="13.2">
      <c r="F611" s="22"/>
    </row>
    <row r="612" spans="6:6" ht="13.2">
      <c r="F612" s="22"/>
    </row>
    <row r="613" spans="6:6" ht="13.2">
      <c r="F613" s="22"/>
    </row>
    <row r="614" spans="6:6" ht="13.2">
      <c r="F614" s="22"/>
    </row>
    <row r="615" spans="6:6" ht="13.2">
      <c r="F615" s="22"/>
    </row>
    <row r="616" spans="6:6" ht="13.2">
      <c r="F616" s="22"/>
    </row>
    <row r="617" spans="6:6" ht="13.2">
      <c r="F617" s="22"/>
    </row>
    <row r="618" spans="6:6" ht="13.2">
      <c r="F618" s="22"/>
    </row>
    <row r="619" spans="6:6" ht="13.2">
      <c r="F619" s="22"/>
    </row>
    <row r="620" spans="6:6" ht="13.2">
      <c r="F620" s="22"/>
    </row>
    <row r="621" spans="6:6" ht="13.2">
      <c r="F621" s="22"/>
    </row>
    <row r="622" spans="6:6" ht="13.2">
      <c r="F622" s="22"/>
    </row>
    <row r="623" spans="6:6" ht="13.2">
      <c r="F623" s="22"/>
    </row>
    <row r="624" spans="6:6" ht="13.2">
      <c r="F624" s="22"/>
    </row>
    <row r="625" spans="6:6" ht="13.2">
      <c r="F625" s="22"/>
    </row>
    <row r="626" spans="6:6" ht="13.2">
      <c r="F626" s="22"/>
    </row>
    <row r="627" spans="6:6" ht="13.2">
      <c r="F627" s="22"/>
    </row>
    <row r="628" spans="6:6" ht="13.2">
      <c r="F628" s="22"/>
    </row>
    <row r="629" spans="6:6" ht="13.2">
      <c r="F629" s="22"/>
    </row>
    <row r="630" spans="6:6" ht="13.2">
      <c r="F630" s="22"/>
    </row>
    <row r="631" spans="6:6" ht="13.2">
      <c r="F631" s="22"/>
    </row>
    <row r="632" spans="6:6" ht="13.2">
      <c r="F632" s="22"/>
    </row>
    <row r="633" spans="6:6" ht="13.2">
      <c r="F633" s="22"/>
    </row>
    <row r="634" spans="6:6" ht="13.2">
      <c r="F634" s="22"/>
    </row>
    <row r="635" spans="6:6" ht="13.2">
      <c r="F635" s="22"/>
    </row>
    <row r="636" spans="6:6" ht="13.2">
      <c r="F636" s="22"/>
    </row>
    <row r="637" spans="6:6" ht="13.2">
      <c r="F637" s="22"/>
    </row>
    <row r="638" spans="6:6" ht="13.2">
      <c r="F638" s="22"/>
    </row>
    <row r="639" spans="6:6" ht="13.2">
      <c r="F639" s="22"/>
    </row>
    <row r="640" spans="6:6" ht="13.2">
      <c r="F640" s="22"/>
    </row>
    <row r="641" spans="6:6" ht="13.2">
      <c r="F641" s="22"/>
    </row>
    <row r="642" spans="6:6" ht="13.2">
      <c r="F642" s="22"/>
    </row>
    <row r="643" spans="6:6" ht="13.2">
      <c r="F643" s="22"/>
    </row>
    <row r="644" spans="6:6" ht="13.2">
      <c r="F644" s="22"/>
    </row>
    <row r="645" spans="6:6" ht="13.2">
      <c r="F645" s="22"/>
    </row>
    <row r="646" spans="6:6" ht="13.2">
      <c r="F646" s="22"/>
    </row>
    <row r="647" spans="6:6" ht="13.2">
      <c r="F647" s="22"/>
    </row>
    <row r="648" spans="6:6" ht="13.2">
      <c r="F648" s="22"/>
    </row>
    <row r="649" spans="6:6" ht="13.2">
      <c r="F649" s="22"/>
    </row>
    <row r="650" spans="6:6" ht="13.2">
      <c r="F650" s="22"/>
    </row>
    <row r="651" spans="6:6" ht="13.2">
      <c r="F651" s="22"/>
    </row>
    <row r="652" spans="6:6" ht="13.2">
      <c r="F652" s="22"/>
    </row>
    <row r="653" spans="6:6" ht="13.2">
      <c r="F653" s="22"/>
    </row>
    <row r="654" spans="6:6" ht="13.2">
      <c r="F654" s="22"/>
    </row>
    <row r="655" spans="6:6" ht="13.2">
      <c r="F655" s="22"/>
    </row>
    <row r="656" spans="6:6" ht="13.2">
      <c r="F656" s="22"/>
    </row>
    <row r="657" spans="6:6" ht="13.2">
      <c r="F657" s="22"/>
    </row>
    <row r="658" spans="6:6" ht="13.2">
      <c r="F658" s="22"/>
    </row>
    <row r="659" spans="6:6" ht="13.2">
      <c r="F659" s="22"/>
    </row>
    <row r="660" spans="6:6" ht="13.2">
      <c r="F660" s="22"/>
    </row>
    <row r="661" spans="6:6" ht="13.2">
      <c r="F661" s="22"/>
    </row>
    <row r="662" spans="6:6" ht="13.2">
      <c r="F662" s="22"/>
    </row>
    <row r="663" spans="6:6" ht="13.2">
      <c r="F663" s="22"/>
    </row>
    <row r="664" spans="6:6" ht="13.2">
      <c r="F664" s="22"/>
    </row>
    <row r="665" spans="6:6" ht="13.2">
      <c r="F665" s="22"/>
    </row>
    <row r="666" spans="6:6" ht="13.2">
      <c r="F666" s="22"/>
    </row>
    <row r="667" spans="6:6" ht="13.2">
      <c r="F667" s="22"/>
    </row>
    <row r="668" spans="6:6" ht="13.2">
      <c r="F668" s="22"/>
    </row>
    <row r="669" spans="6:6" ht="13.2">
      <c r="F669" s="22"/>
    </row>
    <row r="670" spans="6:6" ht="13.2">
      <c r="F670" s="22"/>
    </row>
    <row r="671" spans="6:6" ht="13.2">
      <c r="F671" s="22"/>
    </row>
    <row r="672" spans="6:6" ht="13.2">
      <c r="F672" s="22"/>
    </row>
    <row r="673" spans="6:6" ht="13.2">
      <c r="F673" s="22"/>
    </row>
    <row r="674" spans="6:6" ht="13.2">
      <c r="F674" s="22"/>
    </row>
    <row r="675" spans="6:6" ht="13.2">
      <c r="F675" s="22"/>
    </row>
    <row r="676" spans="6:6" ht="13.2">
      <c r="F676" s="22"/>
    </row>
    <row r="677" spans="6:6" ht="13.2">
      <c r="F677" s="22"/>
    </row>
    <row r="678" spans="6:6" ht="13.2">
      <c r="F678" s="22"/>
    </row>
    <row r="679" spans="6:6" ht="13.2">
      <c r="F679" s="22"/>
    </row>
    <row r="680" spans="6:6" ht="13.2">
      <c r="F680" s="22"/>
    </row>
    <row r="681" spans="6:6" ht="13.2">
      <c r="F681" s="22"/>
    </row>
    <row r="682" spans="6:6" ht="13.2">
      <c r="F682" s="22"/>
    </row>
    <row r="683" spans="6:6" ht="13.2">
      <c r="F683" s="22"/>
    </row>
    <row r="684" spans="6:6" ht="13.2">
      <c r="F684" s="22"/>
    </row>
    <row r="685" spans="6:6" ht="13.2">
      <c r="F685" s="22"/>
    </row>
    <row r="686" spans="6:6" ht="13.2">
      <c r="F686" s="22"/>
    </row>
    <row r="687" spans="6:6" ht="13.2">
      <c r="F687" s="22"/>
    </row>
    <row r="688" spans="6:6" ht="13.2">
      <c r="F688" s="22"/>
    </row>
    <row r="689" spans="6:6" ht="13.2">
      <c r="F689" s="22"/>
    </row>
    <row r="690" spans="6:6" ht="13.2">
      <c r="F690" s="22"/>
    </row>
    <row r="691" spans="6:6" ht="13.2">
      <c r="F691" s="22"/>
    </row>
    <row r="692" spans="6:6" ht="13.2">
      <c r="F692" s="22"/>
    </row>
    <row r="693" spans="6:6" ht="13.2">
      <c r="F693" s="22"/>
    </row>
    <row r="694" spans="6:6" ht="13.2">
      <c r="F694" s="22"/>
    </row>
    <row r="695" spans="6:6" ht="13.2">
      <c r="F695" s="22"/>
    </row>
    <row r="696" spans="6:6" ht="13.2">
      <c r="F696" s="22"/>
    </row>
    <row r="697" spans="6:6" ht="13.2">
      <c r="F697" s="22"/>
    </row>
    <row r="698" spans="6:6" ht="13.2">
      <c r="F698" s="22"/>
    </row>
    <row r="699" spans="6:6" ht="13.2">
      <c r="F699" s="22"/>
    </row>
    <row r="700" spans="6:6" ht="13.2">
      <c r="F700" s="22"/>
    </row>
    <row r="701" spans="6:6" ht="13.2">
      <c r="F701" s="22"/>
    </row>
    <row r="702" spans="6:6" ht="13.2">
      <c r="F702" s="22"/>
    </row>
    <row r="703" spans="6:6" ht="13.2">
      <c r="F703" s="22"/>
    </row>
    <row r="704" spans="6:6" ht="13.2">
      <c r="F704" s="22"/>
    </row>
    <row r="705" spans="6:6" ht="13.2">
      <c r="F705" s="22"/>
    </row>
    <row r="706" spans="6:6" ht="13.2">
      <c r="F706" s="22"/>
    </row>
    <row r="707" spans="6:6" ht="13.2">
      <c r="F707" s="22"/>
    </row>
    <row r="708" spans="6:6" ht="13.2">
      <c r="F708" s="22"/>
    </row>
    <row r="709" spans="6:6" ht="13.2">
      <c r="F709" s="22"/>
    </row>
    <row r="710" spans="6:6" ht="13.2">
      <c r="F710" s="22"/>
    </row>
    <row r="711" spans="6:6" ht="13.2">
      <c r="F711" s="22"/>
    </row>
    <row r="712" spans="6:6" ht="13.2">
      <c r="F712" s="22"/>
    </row>
    <row r="713" spans="6:6" ht="13.2">
      <c r="F713" s="22"/>
    </row>
    <row r="714" spans="6:6" ht="13.2">
      <c r="F714" s="22"/>
    </row>
    <row r="715" spans="6:6" ht="13.2">
      <c r="F715" s="22"/>
    </row>
    <row r="716" spans="6:6" ht="13.2">
      <c r="F716" s="22"/>
    </row>
    <row r="717" spans="6:6" ht="13.2">
      <c r="F717" s="22"/>
    </row>
    <row r="718" spans="6:6" ht="13.2">
      <c r="F718" s="22"/>
    </row>
    <row r="719" spans="6:6" ht="13.2">
      <c r="F719" s="22"/>
    </row>
    <row r="720" spans="6:6" ht="13.2">
      <c r="F720" s="22"/>
    </row>
    <row r="721" spans="6:6" ht="13.2">
      <c r="F721" s="22"/>
    </row>
    <row r="722" spans="6:6" ht="13.2">
      <c r="F722" s="22"/>
    </row>
    <row r="723" spans="6:6" ht="13.2">
      <c r="F723" s="22"/>
    </row>
    <row r="724" spans="6:6" ht="13.2">
      <c r="F724" s="22"/>
    </row>
    <row r="725" spans="6:6" ht="13.2">
      <c r="F725" s="22"/>
    </row>
    <row r="726" spans="6:6" ht="13.2">
      <c r="F726" s="22"/>
    </row>
    <row r="727" spans="6:6" ht="13.2">
      <c r="F727" s="22"/>
    </row>
    <row r="728" spans="6:6" ht="13.2">
      <c r="F728" s="22"/>
    </row>
    <row r="729" spans="6:6" ht="13.2">
      <c r="F729" s="22"/>
    </row>
    <row r="730" spans="6:6" ht="13.2">
      <c r="F730" s="22"/>
    </row>
    <row r="731" spans="6:6" ht="13.2">
      <c r="F731" s="22"/>
    </row>
    <row r="732" spans="6:6" ht="13.2">
      <c r="F732" s="22"/>
    </row>
    <row r="733" spans="6:6" ht="13.2">
      <c r="F733" s="22"/>
    </row>
    <row r="734" spans="6:6" ht="13.2">
      <c r="F734" s="22"/>
    </row>
    <row r="735" spans="6:6" ht="13.2">
      <c r="F735" s="22"/>
    </row>
    <row r="736" spans="6:6" ht="13.2">
      <c r="F736" s="22"/>
    </row>
    <row r="737" spans="6:6" ht="13.2">
      <c r="F737" s="22"/>
    </row>
    <row r="738" spans="6:6" ht="13.2">
      <c r="F738" s="22"/>
    </row>
    <row r="739" spans="6:6" ht="13.2">
      <c r="F739" s="22"/>
    </row>
    <row r="740" spans="6:6" ht="13.2">
      <c r="F740" s="22"/>
    </row>
    <row r="741" spans="6:6" ht="13.2">
      <c r="F741" s="22"/>
    </row>
    <row r="742" spans="6:6" ht="13.2">
      <c r="F742" s="22"/>
    </row>
    <row r="743" spans="6:6" ht="13.2">
      <c r="F743" s="22"/>
    </row>
    <row r="744" spans="6:6" ht="13.2">
      <c r="F744" s="22"/>
    </row>
    <row r="745" spans="6:6" ht="13.2">
      <c r="F745" s="22"/>
    </row>
    <row r="746" spans="6:6" ht="13.2">
      <c r="F746" s="22"/>
    </row>
    <row r="747" spans="6:6" ht="13.2">
      <c r="F747" s="22"/>
    </row>
    <row r="748" spans="6:6" ht="13.2">
      <c r="F748" s="22"/>
    </row>
    <row r="749" spans="6:6" ht="13.2">
      <c r="F749" s="22"/>
    </row>
    <row r="750" spans="6:6" ht="13.2">
      <c r="F750" s="22"/>
    </row>
    <row r="751" spans="6:6" ht="13.2">
      <c r="F751" s="22"/>
    </row>
    <row r="752" spans="6:6" ht="13.2">
      <c r="F752" s="22"/>
    </row>
    <row r="753" spans="6:6" ht="13.2">
      <c r="F753" s="22"/>
    </row>
    <row r="754" spans="6:6" ht="13.2">
      <c r="F754" s="22"/>
    </row>
    <row r="755" spans="6:6" ht="13.2">
      <c r="F755" s="22"/>
    </row>
    <row r="756" spans="6:6" ht="13.2">
      <c r="F756" s="22"/>
    </row>
    <row r="757" spans="6:6" ht="13.2">
      <c r="F757" s="22"/>
    </row>
    <row r="758" spans="6:6" ht="13.2">
      <c r="F758" s="22"/>
    </row>
    <row r="759" spans="6:6" ht="13.2">
      <c r="F759" s="22"/>
    </row>
    <row r="760" spans="6:6" ht="13.2">
      <c r="F760" s="22"/>
    </row>
    <row r="761" spans="6:6" ht="13.2">
      <c r="F761" s="22"/>
    </row>
    <row r="762" spans="6:6" ht="13.2">
      <c r="F762" s="22"/>
    </row>
    <row r="763" spans="6:6" ht="13.2">
      <c r="F763" s="22"/>
    </row>
    <row r="764" spans="6:6" ht="13.2">
      <c r="F764" s="22"/>
    </row>
    <row r="765" spans="6:6" ht="13.2">
      <c r="F765" s="22"/>
    </row>
    <row r="766" spans="6:6" ht="13.2">
      <c r="F766" s="22"/>
    </row>
    <row r="767" spans="6:6" ht="13.2">
      <c r="F767" s="22"/>
    </row>
    <row r="768" spans="6:6" ht="13.2">
      <c r="F768" s="22"/>
    </row>
    <row r="769" spans="6:6" ht="13.2">
      <c r="F769" s="22"/>
    </row>
    <row r="770" spans="6:6" ht="13.2">
      <c r="F770" s="22"/>
    </row>
    <row r="771" spans="6:6" ht="13.2">
      <c r="F771" s="22"/>
    </row>
    <row r="772" spans="6:6" ht="13.2">
      <c r="F772" s="22"/>
    </row>
    <row r="773" spans="6:6" ht="13.2">
      <c r="F773" s="22"/>
    </row>
    <row r="774" spans="6:6" ht="13.2">
      <c r="F774" s="22"/>
    </row>
    <row r="775" spans="6:6" ht="13.2">
      <c r="F775" s="22"/>
    </row>
    <row r="776" spans="6:6" ht="13.2">
      <c r="F776" s="22"/>
    </row>
    <row r="777" spans="6:6" ht="13.2">
      <c r="F777" s="22"/>
    </row>
    <row r="778" spans="6:6" ht="13.2">
      <c r="F778" s="22"/>
    </row>
    <row r="779" spans="6:6" ht="13.2">
      <c r="F779" s="22"/>
    </row>
    <row r="780" spans="6:6" ht="13.2">
      <c r="F780" s="22"/>
    </row>
    <row r="781" spans="6:6" ht="13.2">
      <c r="F781" s="22"/>
    </row>
    <row r="782" spans="6:6" ht="13.2">
      <c r="F782" s="22"/>
    </row>
    <row r="783" spans="6:6" ht="13.2">
      <c r="F783" s="22"/>
    </row>
    <row r="784" spans="6:6" ht="13.2">
      <c r="F784" s="22"/>
    </row>
    <row r="785" spans="6:6" ht="13.2">
      <c r="F785" s="22"/>
    </row>
    <row r="786" spans="6:6" ht="13.2">
      <c r="F786" s="22"/>
    </row>
    <row r="787" spans="6:6" ht="13.2">
      <c r="F787" s="22"/>
    </row>
    <row r="788" spans="6:6" ht="13.2">
      <c r="F788" s="22"/>
    </row>
    <row r="789" spans="6:6" ht="13.2">
      <c r="F789" s="22"/>
    </row>
    <row r="790" spans="6:6" ht="13.2">
      <c r="F790" s="22"/>
    </row>
    <row r="791" spans="6:6" ht="13.2">
      <c r="F791" s="22"/>
    </row>
    <row r="792" spans="6:6" ht="13.2">
      <c r="F792" s="22"/>
    </row>
    <row r="793" spans="6:6" ht="13.2">
      <c r="F793" s="22"/>
    </row>
    <row r="794" spans="6:6" ht="13.2">
      <c r="F794" s="22"/>
    </row>
    <row r="795" spans="6:6" ht="13.2">
      <c r="F795" s="22"/>
    </row>
    <row r="796" spans="6:6" ht="13.2">
      <c r="F796" s="22"/>
    </row>
    <row r="797" spans="6:6" ht="13.2">
      <c r="F797" s="22"/>
    </row>
    <row r="798" spans="6:6" ht="13.2">
      <c r="F798" s="22"/>
    </row>
    <row r="799" spans="6:6" ht="13.2">
      <c r="F799" s="22"/>
    </row>
    <row r="800" spans="6:6" ht="13.2">
      <c r="F800" s="22"/>
    </row>
    <row r="801" spans="6:6" ht="13.2">
      <c r="F801" s="22"/>
    </row>
    <row r="802" spans="6:6" ht="13.2">
      <c r="F802" s="22"/>
    </row>
    <row r="803" spans="6:6" ht="13.2">
      <c r="F803" s="22"/>
    </row>
    <row r="804" spans="6:6" ht="13.2">
      <c r="F804" s="22"/>
    </row>
    <row r="805" spans="6:6" ht="13.2">
      <c r="F805" s="22"/>
    </row>
    <row r="806" spans="6:6" ht="13.2">
      <c r="F806" s="22"/>
    </row>
    <row r="807" spans="6:6" ht="13.2">
      <c r="F807" s="22"/>
    </row>
    <row r="808" spans="6:6" ht="13.2">
      <c r="F808" s="22"/>
    </row>
    <row r="809" spans="6:6" ht="13.2">
      <c r="F809" s="22"/>
    </row>
    <row r="810" spans="6:6" ht="13.2">
      <c r="F810" s="22"/>
    </row>
    <row r="811" spans="6:6" ht="13.2">
      <c r="F811" s="22"/>
    </row>
    <row r="812" spans="6:6" ht="13.2">
      <c r="F812" s="22"/>
    </row>
    <row r="813" spans="6:6" ht="13.2">
      <c r="F813" s="22"/>
    </row>
    <row r="814" spans="6:6" ht="13.2">
      <c r="F814" s="22"/>
    </row>
    <row r="815" spans="6:6" ht="13.2">
      <c r="F815" s="22"/>
    </row>
    <row r="816" spans="6:6" ht="13.2">
      <c r="F816" s="22"/>
    </row>
    <row r="817" spans="6:6" ht="13.2">
      <c r="F817" s="22"/>
    </row>
    <row r="818" spans="6:6" ht="13.2">
      <c r="F818" s="22"/>
    </row>
    <row r="819" spans="6:6" ht="13.2">
      <c r="F819" s="22"/>
    </row>
    <row r="820" spans="6:6" ht="13.2">
      <c r="F820" s="22"/>
    </row>
    <row r="821" spans="6:6" ht="13.2">
      <c r="F821" s="22"/>
    </row>
    <row r="822" spans="6:6" ht="13.2">
      <c r="F822" s="22"/>
    </row>
    <row r="823" spans="6:6" ht="13.2">
      <c r="F823" s="22"/>
    </row>
    <row r="824" spans="6:6" ht="13.2">
      <c r="F824" s="22"/>
    </row>
    <row r="825" spans="6:6" ht="13.2">
      <c r="F825" s="22"/>
    </row>
    <row r="826" spans="6:6" ht="13.2">
      <c r="F826" s="22"/>
    </row>
    <row r="827" spans="6:6" ht="13.2">
      <c r="F827" s="22"/>
    </row>
    <row r="828" spans="6:6" ht="13.2">
      <c r="F828" s="22"/>
    </row>
    <row r="829" spans="6:6" ht="13.2">
      <c r="F829" s="22"/>
    </row>
    <row r="830" spans="6:6" ht="13.2">
      <c r="F830" s="22"/>
    </row>
    <row r="831" spans="6:6" ht="13.2">
      <c r="F831" s="22"/>
    </row>
    <row r="832" spans="6:6" ht="13.2">
      <c r="F832" s="22"/>
    </row>
    <row r="833" spans="6:6" ht="13.2">
      <c r="F833" s="22"/>
    </row>
    <row r="834" spans="6:6" ht="13.2">
      <c r="F834" s="22"/>
    </row>
    <row r="835" spans="6:6" ht="13.2">
      <c r="F835" s="22"/>
    </row>
    <row r="836" spans="6:6" ht="13.2">
      <c r="F836" s="22"/>
    </row>
    <row r="837" spans="6:6" ht="13.2">
      <c r="F837" s="22"/>
    </row>
    <row r="838" spans="6:6" ht="13.2">
      <c r="F838" s="22"/>
    </row>
    <row r="839" spans="6:6" ht="13.2">
      <c r="F839" s="22"/>
    </row>
    <row r="840" spans="6:6" ht="13.2">
      <c r="F840" s="22"/>
    </row>
    <row r="841" spans="6:6" ht="13.2">
      <c r="F841" s="22"/>
    </row>
    <row r="842" spans="6:6" ht="13.2">
      <c r="F842" s="22"/>
    </row>
    <row r="843" spans="6:6" ht="13.2">
      <c r="F843" s="22"/>
    </row>
    <row r="844" spans="6:6" ht="13.2">
      <c r="F844" s="22"/>
    </row>
    <row r="845" spans="6:6" ht="13.2">
      <c r="F845" s="22"/>
    </row>
    <row r="846" spans="6:6" ht="13.2">
      <c r="F846" s="22"/>
    </row>
    <row r="847" spans="6:6" ht="13.2">
      <c r="F847" s="22"/>
    </row>
    <row r="848" spans="6:6" ht="13.2">
      <c r="F848" s="22"/>
    </row>
    <row r="849" spans="6:6" ht="13.2">
      <c r="F849" s="22"/>
    </row>
    <row r="850" spans="6:6" ht="13.2">
      <c r="F850" s="22"/>
    </row>
    <row r="851" spans="6:6" ht="13.2">
      <c r="F851" s="22"/>
    </row>
    <row r="852" spans="6:6" ht="13.2">
      <c r="F852" s="22"/>
    </row>
    <row r="853" spans="6:6" ht="13.2">
      <c r="F853" s="22"/>
    </row>
    <row r="854" spans="6:6" ht="13.2">
      <c r="F854" s="22"/>
    </row>
    <row r="855" spans="6:6" ht="13.2">
      <c r="F855" s="22"/>
    </row>
    <row r="856" spans="6:6" ht="13.2">
      <c r="F856" s="22"/>
    </row>
    <row r="857" spans="6:6" ht="13.2">
      <c r="F857" s="22"/>
    </row>
    <row r="858" spans="6:6" ht="13.2">
      <c r="F858" s="22"/>
    </row>
    <row r="859" spans="6:6" ht="13.2">
      <c r="F859" s="22"/>
    </row>
    <row r="860" spans="6:6" ht="13.2">
      <c r="F860" s="22"/>
    </row>
    <row r="861" spans="6:6" ht="13.2">
      <c r="F861" s="22"/>
    </row>
    <row r="862" spans="6:6" ht="13.2">
      <c r="F862" s="22"/>
    </row>
    <row r="863" spans="6:6" ht="13.2">
      <c r="F863" s="22"/>
    </row>
    <row r="864" spans="6:6" ht="13.2">
      <c r="F864" s="22"/>
    </row>
    <row r="865" spans="6:6" ht="13.2">
      <c r="F865" s="22"/>
    </row>
    <row r="866" spans="6:6" ht="13.2">
      <c r="F866" s="22"/>
    </row>
    <row r="867" spans="6:6" ht="13.2">
      <c r="F867" s="22"/>
    </row>
    <row r="868" spans="6:6" ht="13.2">
      <c r="F868" s="22"/>
    </row>
    <row r="869" spans="6:6" ht="13.2">
      <c r="F869" s="22"/>
    </row>
    <row r="870" spans="6:6" ht="13.2">
      <c r="F870" s="22"/>
    </row>
    <row r="871" spans="6:6" ht="13.2">
      <c r="F871" s="22"/>
    </row>
    <row r="872" spans="6:6" ht="13.2">
      <c r="F872" s="22"/>
    </row>
    <row r="873" spans="6:6" ht="13.2">
      <c r="F873" s="22"/>
    </row>
    <row r="874" spans="6:6" ht="13.2">
      <c r="F874" s="22"/>
    </row>
    <row r="875" spans="6:6" ht="13.2">
      <c r="F875" s="22"/>
    </row>
    <row r="876" spans="6:6" ht="13.2">
      <c r="F876" s="22"/>
    </row>
    <row r="877" spans="6:6" ht="13.2">
      <c r="F877" s="22"/>
    </row>
    <row r="878" spans="6:6" ht="13.2">
      <c r="F878" s="22"/>
    </row>
    <row r="879" spans="6:6" ht="13.2">
      <c r="F879" s="22"/>
    </row>
    <row r="880" spans="6:6" ht="13.2">
      <c r="F880" s="22"/>
    </row>
    <row r="881" spans="6:6" ht="13.2">
      <c r="F881" s="22"/>
    </row>
    <row r="882" spans="6:6" ht="13.2">
      <c r="F882" s="22"/>
    </row>
    <row r="883" spans="6:6" ht="13.2">
      <c r="F883" s="22"/>
    </row>
    <row r="884" spans="6:6" ht="13.2">
      <c r="F884" s="22"/>
    </row>
    <row r="885" spans="6:6" ht="13.2">
      <c r="F885" s="22"/>
    </row>
    <row r="886" spans="6:6" ht="13.2">
      <c r="F886" s="22"/>
    </row>
    <row r="887" spans="6:6" ht="13.2">
      <c r="F887" s="22"/>
    </row>
    <row r="888" spans="6:6" ht="13.2">
      <c r="F888" s="22"/>
    </row>
    <row r="889" spans="6:6" ht="13.2">
      <c r="F889" s="22"/>
    </row>
    <row r="890" spans="6:6" ht="13.2">
      <c r="F890" s="22"/>
    </row>
    <row r="891" spans="6:6" ht="13.2">
      <c r="F891" s="22"/>
    </row>
    <row r="892" spans="6:6" ht="13.2">
      <c r="F892" s="22"/>
    </row>
    <row r="893" spans="6:6" ht="13.2">
      <c r="F893" s="22"/>
    </row>
    <row r="894" spans="6:6" ht="13.2">
      <c r="F894" s="22"/>
    </row>
    <row r="895" spans="6:6" ht="13.2">
      <c r="F895" s="22"/>
    </row>
    <row r="896" spans="6:6" ht="13.2">
      <c r="F896" s="22"/>
    </row>
    <row r="897" spans="6:6" ht="13.2">
      <c r="F897" s="22"/>
    </row>
    <row r="898" spans="6:6" ht="13.2">
      <c r="F898" s="22"/>
    </row>
    <row r="899" spans="6:6" ht="13.2">
      <c r="F899" s="22"/>
    </row>
    <row r="900" spans="6:6" ht="13.2">
      <c r="F900" s="22"/>
    </row>
    <row r="901" spans="6:6" ht="13.2">
      <c r="F901" s="22"/>
    </row>
    <row r="902" spans="6:6" ht="13.2">
      <c r="F902" s="22"/>
    </row>
    <row r="903" spans="6:6" ht="13.2">
      <c r="F903" s="22"/>
    </row>
    <row r="904" spans="6:6" ht="13.2">
      <c r="F904" s="22"/>
    </row>
    <row r="905" spans="6:6" ht="13.2">
      <c r="F905" s="22"/>
    </row>
    <row r="906" spans="6:6" ht="13.2">
      <c r="F906" s="22"/>
    </row>
    <row r="907" spans="6:6" ht="13.2">
      <c r="F907" s="22"/>
    </row>
    <row r="908" spans="6:6" ht="13.2">
      <c r="F908" s="22"/>
    </row>
    <row r="909" spans="6:6" ht="13.2">
      <c r="F909" s="22"/>
    </row>
    <row r="910" spans="6:6" ht="13.2">
      <c r="F910" s="22"/>
    </row>
    <row r="911" spans="6:6" ht="13.2">
      <c r="F911" s="22"/>
    </row>
    <row r="912" spans="6:6" ht="13.2">
      <c r="F912" s="22"/>
    </row>
    <row r="913" spans="6:6" ht="13.2">
      <c r="F913" s="22"/>
    </row>
    <row r="914" spans="6:6" ht="13.2">
      <c r="F914" s="22"/>
    </row>
    <row r="915" spans="6:6" ht="13.2">
      <c r="F915" s="22"/>
    </row>
    <row r="916" spans="6:6" ht="13.2">
      <c r="F916" s="22"/>
    </row>
    <row r="917" spans="6:6" ht="13.2">
      <c r="F917" s="22"/>
    </row>
    <row r="918" spans="6:6" ht="13.2">
      <c r="F918" s="22"/>
    </row>
    <row r="919" spans="6:6" ht="13.2">
      <c r="F919" s="22"/>
    </row>
    <row r="920" spans="6:6" ht="13.2">
      <c r="F920" s="22"/>
    </row>
    <row r="921" spans="6:6" ht="13.2">
      <c r="F921" s="22"/>
    </row>
    <row r="922" spans="6:6" ht="13.2">
      <c r="F922" s="22"/>
    </row>
    <row r="923" spans="6:6" ht="13.2">
      <c r="F923" s="22"/>
    </row>
    <row r="924" spans="6:6" ht="13.2">
      <c r="F924" s="22"/>
    </row>
    <row r="925" spans="6:6" ht="13.2">
      <c r="F925" s="22"/>
    </row>
    <row r="926" spans="6:6" ht="13.2">
      <c r="F926" s="22"/>
    </row>
    <row r="927" spans="6:6" ht="13.2">
      <c r="F927" s="22"/>
    </row>
    <row r="928" spans="6:6" ht="13.2">
      <c r="F928" s="22"/>
    </row>
    <row r="929" spans="6:6" ht="13.2">
      <c r="F929" s="22"/>
    </row>
    <row r="930" spans="6:6" ht="13.2">
      <c r="F930" s="22"/>
    </row>
    <row r="931" spans="6:6" ht="13.2">
      <c r="F931" s="22"/>
    </row>
    <row r="932" spans="6:6" ht="13.2">
      <c r="F932" s="22"/>
    </row>
    <row r="933" spans="6:6" ht="13.2">
      <c r="F933" s="22"/>
    </row>
    <row r="934" spans="6:6" ht="13.2">
      <c r="F934" s="22"/>
    </row>
    <row r="935" spans="6:6" ht="13.2">
      <c r="F935" s="22"/>
    </row>
    <row r="936" spans="6:6" ht="13.2">
      <c r="F936" s="22"/>
    </row>
    <row r="937" spans="6:6" ht="13.2">
      <c r="F937" s="22"/>
    </row>
    <row r="938" spans="6:6" ht="13.2">
      <c r="F938" s="22"/>
    </row>
    <row r="939" spans="6:6" ht="13.2">
      <c r="F939" s="22"/>
    </row>
    <row r="940" spans="6:6" ht="13.2">
      <c r="F940" s="22"/>
    </row>
    <row r="941" spans="6:6" ht="13.2">
      <c r="F941" s="22"/>
    </row>
    <row r="942" spans="6:6" ht="13.2">
      <c r="F942" s="22"/>
    </row>
    <row r="943" spans="6:6" ht="13.2">
      <c r="F943" s="22"/>
    </row>
    <row r="944" spans="6:6" ht="13.2">
      <c r="F944" s="22"/>
    </row>
    <row r="945" spans="6:6" ht="13.2">
      <c r="F945" s="22"/>
    </row>
    <row r="946" spans="6:6" ht="13.2">
      <c r="F946" s="22"/>
    </row>
    <row r="947" spans="6:6" ht="13.2">
      <c r="F947" s="22"/>
    </row>
    <row r="948" spans="6:6" ht="13.2">
      <c r="F948" s="22"/>
    </row>
    <row r="949" spans="6:6" ht="13.2">
      <c r="F949" s="22"/>
    </row>
    <row r="950" spans="6:6" ht="13.2">
      <c r="F950" s="22"/>
    </row>
    <row r="951" spans="6:6" ht="13.2">
      <c r="F951" s="22"/>
    </row>
    <row r="952" spans="6:6" ht="13.2">
      <c r="F952" s="22"/>
    </row>
    <row r="953" spans="6:6" ht="13.2">
      <c r="F953" s="22"/>
    </row>
    <row r="954" spans="6:6" ht="13.2">
      <c r="F954" s="22"/>
    </row>
    <row r="955" spans="6:6" ht="13.2">
      <c r="F955" s="22"/>
    </row>
    <row r="956" spans="6:6" ht="13.2">
      <c r="F956" s="22"/>
    </row>
    <row r="957" spans="6:6" ht="13.2">
      <c r="F957" s="22"/>
    </row>
    <row r="958" spans="6:6" ht="13.2">
      <c r="F958" s="22"/>
    </row>
    <row r="959" spans="6:6" ht="13.2">
      <c r="F959" s="22"/>
    </row>
    <row r="960" spans="6:6" ht="13.2">
      <c r="F960" s="22"/>
    </row>
    <row r="961" spans="6:6" ht="13.2">
      <c r="F961" s="22"/>
    </row>
    <row r="962" spans="6:6" ht="13.2">
      <c r="F962" s="22"/>
    </row>
    <row r="963" spans="6:6" ht="13.2">
      <c r="F963" s="22"/>
    </row>
    <row r="964" spans="6:6" ht="13.2">
      <c r="F964" s="22"/>
    </row>
    <row r="965" spans="6:6" ht="13.2">
      <c r="F965" s="22"/>
    </row>
    <row r="966" spans="6:6" ht="13.2">
      <c r="F966" s="22"/>
    </row>
    <row r="967" spans="6:6" ht="13.2">
      <c r="F967" s="22"/>
    </row>
    <row r="968" spans="6:6" ht="13.2">
      <c r="F968" s="22"/>
    </row>
    <row r="969" spans="6:6" ht="13.2">
      <c r="F969" s="22"/>
    </row>
    <row r="970" spans="6:6" ht="13.2">
      <c r="F970" s="22"/>
    </row>
    <row r="971" spans="6:6" ht="13.2">
      <c r="F971" s="22"/>
    </row>
    <row r="972" spans="6:6" ht="13.2">
      <c r="F972" s="22"/>
    </row>
    <row r="973" spans="6:6" ht="13.2">
      <c r="F973" s="22"/>
    </row>
    <row r="974" spans="6:6" ht="13.2">
      <c r="F974" s="22"/>
    </row>
    <row r="975" spans="6:6" ht="13.2">
      <c r="F975" s="22"/>
    </row>
    <row r="976" spans="6:6" ht="13.2">
      <c r="F976" s="22"/>
    </row>
    <row r="977" spans="6:6" ht="13.2">
      <c r="F977" s="22"/>
    </row>
    <row r="978" spans="6:6" ht="13.2">
      <c r="F978" s="22"/>
    </row>
    <row r="979" spans="6:6" ht="13.2">
      <c r="F979" s="22"/>
    </row>
    <row r="980" spans="6:6" ht="13.2">
      <c r="F980" s="22"/>
    </row>
    <row r="981" spans="6:6" ht="13.2">
      <c r="F981" s="22"/>
    </row>
    <row r="982" spans="6:6" ht="13.2">
      <c r="F982" s="22"/>
    </row>
    <row r="983" spans="6:6" ht="13.2">
      <c r="F983" s="22"/>
    </row>
    <row r="984" spans="6:6" ht="13.2">
      <c r="F984" s="22"/>
    </row>
    <row r="985" spans="6:6" ht="13.2">
      <c r="F985" s="22"/>
    </row>
    <row r="986" spans="6:6" ht="13.2">
      <c r="F986" s="22"/>
    </row>
    <row r="987" spans="6:6" ht="13.2">
      <c r="F987" s="22"/>
    </row>
    <row r="988" spans="6:6" ht="13.2">
      <c r="F988" s="22"/>
    </row>
    <row r="989" spans="6:6" ht="13.2">
      <c r="F989" s="22"/>
    </row>
    <row r="990" spans="6:6" ht="13.2">
      <c r="F990" s="22"/>
    </row>
    <row r="991" spans="6:6" ht="13.2">
      <c r="F991" s="22"/>
    </row>
    <row r="992" spans="6:6" ht="13.2">
      <c r="F992" s="22"/>
    </row>
    <row r="993" spans="6:6" ht="13.2">
      <c r="F993" s="22"/>
    </row>
    <row r="994" spans="6:6" ht="13.2">
      <c r="F994" s="22"/>
    </row>
    <row r="995" spans="6:6" ht="13.2">
      <c r="F995" s="22"/>
    </row>
    <row r="996" spans="6:6" ht="13.2">
      <c r="F996" s="22"/>
    </row>
    <row r="997" spans="6:6" ht="13.2">
      <c r="F997" s="22"/>
    </row>
    <row r="998" spans="6:6" ht="13.2">
      <c r="F998" s="22"/>
    </row>
    <row r="999" spans="6:6" ht="13.2">
      <c r="F999" s="22"/>
    </row>
    <row r="1000" spans="6:6" ht="13.2">
      <c r="F1000" s="22"/>
    </row>
    <row r="1001" spans="6:6" ht="13.2">
      <c r="F1001" s="22"/>
    </row>
    <row r="1002" spans="6:6" ht="13.2">
      <c r="F1002" s="22"/>
    </row>
    <row r="1003" spans="6:6" ht="13.2">
      <c r="F1003" s="22"/>
    </row>
    <row r="1004" spans="6:6" ht="13.2">
      <c r="F1004" s="22"/>
    </row>
    <row r="1005" spans="6:6" ht="13.2">
      <c r="F1005" s="22"/>
    </row>
    <row r="1006" spans="6:6" ht="13.2">
      <c r="F1006" s="22"/>
    </row>
  </sheetData>
  <hyperlinks>
    <hyperlink ref="B5" r:id="rId1" xr:uid="{00000000-0004-0000-0100-000000000000}"/>
    <hyperlink ref="B6" r:id="rId2" xr:uid="{00000000-0004-0000-0100-000001000000}"/>
    <hyperlink ref="B18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3"/>
  <sheetViews>
    <sheetView workbookViewId="0">
      <selection activeCell="F16" sqref="F16"/>
    </sheetView>
  </sheetViews>
  <sheetFormatPr defaultColWidth="12.6640625" defaultRowHeight="15.75" customHeight="1"/>
  <cols>
    <col min="1" max="1" width="27.77734375" bestFit="1" customWidth="1"/>
    <col min="2" max="2" width="66" bestFit="1" customWidth="1"/>
    <col min="3" max="3" width="2.77734375" bestFit="1" customWidth="1"/>
  </cols>
  <sheetData>
    <row r="1" spans="1:2" ht="15.75" customHeight="1">
      <c r="A1" s="9" t="s">
        <v>45</v>
      </c>
      <c r="B1" s="37" t="s">
        <v>46</v>
      </c>
    </row>
    <row r="2" spans="1:2">
      <c r="A2" s="10"/>
      <c r="B2" s="2"/>
    </row>
    <row r="3" spans="1:2">
      <c r="A3" s="10" t="s">
        <v>11</v>
      </c>
      <c r="B3" s="2"/>
    </row>
    <row r="4" spans="1:2">
      <c r="A4" s="10"/>
      <c r="B4" s="2"/>
    </row>
    <row r="5" spans="1:2">
      <c r="A5" s="10" t="s">
        <v>12</v>
      </c>
      <c r="B5" s="38" t="s">
        <v>47</v>
      </c>
    </row>
    <row r="6" spans="1:2">
      <c r="B6" s="38" t="s">
        <v>48</v>
      </c>
    </row>
    <row r="8" spans="1:2">
      <c r="A8" s="10" t="s">
        <v>15</v>
      </c>
    </row>
    <row r="9" spans="1:2">
      <c r="A9" s="14"/>
      <c r="B9" s="10" t="s">
        <v>17</v>
      </c>
    </row>
    <row r="10" spans="1:2">
      <c r="A10" s="17"/>
      <c r="B10" s="10" t="s">
        <v>20</v>
      </c>
    </row>
    <row r="11" spans="1:2">
      <c r="A11" s="19"/>
      <c r="B11" s="10" t="s">
        <v>22</v>
      </c>
    </row>
    <row r="12" spans="1:2">
      <c r="A12" s="10" t="s">
        <v>49</v>
      </c>
    </row>
    <row r="13" spans="1:2">
      <c r="A13" s="39" t="s">
        <v>50</v>
      </c>
      <c r="B13" s="14">
        <v>0.2</v>
      </c>
    </row>
    <row r="14" spans="1:2">
      <c r="A14" s="39" t="s">
        <v>51</v>
      </c>
      <c r="B14" s="14">
        <v>2</v>
      </c>
    </row>
    <row r="15" spans="1:2">
      <c r="A15" s="39" t="s">
        <v>52</v>
      </c>
      <c r="B15" s="14">
        <v>0.5</v>
      </c>
    </row>
    <row r="16" spans="1:2">
      <c r="A16" s="39" t="s">
        <v>53</v>
      </c>
      <c r="B16" s="39" t="s">
        <v>54</v>
      </c>
    </row>
    <row r="17" spans="1:2">
      <c r="A17" s="39" t="s">
        <v>55</v>
      </c>
      <c r="B17" s="14">
        <v>0</v>
      </c>
    </row>
    <row r="18" spans="1:2">
      <c r="A18" s="39" t="s">
        <v>56</v>
      </c>
      <c r="B18" s="14">
        <v>1</v>
      </c>
    </row>
    <row r="19" spans="1:2">
      <c r="A19" s="39" t="s">
        <v>57</v>
      </c>
      <c r="B19" s="40">
        <v>0</v>
      </c>
    </row>
    <row r="21" spans="1:2">
      <c r="A21" s="10" t="s">
        <v>58</v>
      </c>
      <c r="B21" s="4" t="s">
        <v>59</v>
      </c>
    </row>
    <row r="22" spans="1:2">
      <c r="A22" s="10" t="s">
        <v>60</v>
      </c>
      <c r="B22" s="10"/>
    </row>
    <row r="23" spans="1:2">
      <c r="A23" s="10">
        <v>1</v>
      </c>
      <c r="B23" s="41" t="s">
        <v>61</v>
      </c>
    </row>
    <row r="24" spans="1:2">
      <c r="A24" s="10">
        <v>2</v>
      </c>
      <c r="B24" s="10" t="s">
        <v>62</v>
      </c>
    </row>
    <row r="25" spans="1:2">
      <c r="A25" s="10">
        <v>3</v>
      </c>
      <c r="B25" s="10" t="s">
        <v>63</v>
      </c>
    </row>
    <row r="26" spans="1:2">
      <c r="A26" s="10"/>
      <c r="B26" s="10"/>
    </row>
    <row r="27" spans="1:2">
      <c r="A27" s="39" t="s">
        <v>64</v>
      </c>
      <c r="B27" s="42">
        <v>0.4</v>
      </c>
    </row>
    <row r="28" spans="1:2" ht="13.2">
      <c r="A28" s="39" t="s">
        <v>65</v>
      </c>
      <c r="B28" s="43">
        <v>0.93</v>
      </c>
    </row>
    <row r="29" spans="1:2" ht="13.2">
      <c r="A29" s="39" t="s">
        <v>66</v>
      </c>
      <c r="B29" s="43">
        <v>0.95</v>
      </c>
    </row>
    <row r="30" spans="1:2" ht="13.2">
      <c r="A30" s="39" t="s">
        <v>67</v>
      </c>
      <c r="B30" s="43">
        <v>0.95</v>
      </c>
    </row>
    <row r="31" spans="1:2" ht="13.2">
      <c r="A31" s="39" t="s">
        <v>68</v>
      </c>
      <c r="B31" s="43">
        <v>0.96</v>
      </c>
    </row>
    <row r="32" spans="1:2" ht="13.2">
      <c r="A32" s="39" t="s">
        <v>69</v>
      </c>
      <c r="B32" s="44">
        <f>(B28+B29+B30+B31)/4</f>
        <v>0.94750000000000001</v>
      </c>
    </row>
    <row r="33" spans="1:3" ht="13.2">
      <c r="A33" s="39" t="s">
        <v>70</v>
      </c>
      <c r="B33" s="45">
        <f>(B14*B15)/B32*100</f>
        <v>105.54089709762533</v>
      </c>
      <c r="C33" s="14" t="s">
        <v>71</v>
      </c>
    </row>
  </sheetData>
  <hyperlinks>
    <hyperlink ref="B5" r:id="rId1" xr:uid="{00000000-0004-0000-0200-000000000000}"/>
    <hyperlink ref="B6" r:id="rId2" xr:uid="{00000000-0004-0000-0200-000001000000}"/>
    <hyperlink ref="B21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9"/>
  <sheetViews>
    <sheetView workbookViewId="0">
      <selection sqref="A1:XFD1048576"/>
    </sheetView>
  </sheetViews>
  <sheetFormatPr defaultColWidth="12.6640625" defaultRowHeight="15.75" customHeight="1"/>
  <cols>
    <col min="1" max="1" width="27.21875" bestFit="1" customWidth="1"/>
    <col min="2" max="2" width="66" bestFit="1" customWidth="1"/>
  </cols>
  <sheetData>
    <row r="1" spans="1:2" ht="15.75" customHeight="1">
      <c r="A1" s="9" t="s">
        <v>72</v>
      </c>
      <c r="B1" s="37" t="s">
        <v>73</v>
      </c>
    </row>
    <row r="2" spans="1:2" ht="15.75" customHeight="1">
      <c r="A2" s="9" t="s">
        <v>74</v>
      </c>
      <c r="B2" s="2"/>
    </row>
    <row r="3" spans="1:2">
      <c r="A3" s="10" t="s">
        <v>11</v>
      </c>
      <c r="B3" s="2"/>
    </row>
    <row r="4" spans="1:2">
      <c r="A4" s="10"/>
      <c r="B4" s="2"/>
    </row>
    <row r="5" spans="1:2">
      <c r="A5" s="10" t="s">
        <v>12</v>
      </c>
      <c r="B5" s="38" t="s">
        <v>47</v>
      </c>
    </row>
    <row r="6" spans="1:2">
      <c r="B6" s="38" t="s">
        <v>48</v>
      </c>
    </row>
    <row r="8" spans="1:2">
      <c r="A8" s="10" t="s">
        <v>15</v>
      </c>
    </row>
    <row r="9" spans="1:2">
      <c r="A9" s="14"/>
      <c r="B9" s="10" t="s">
        <v>17</v>
      </c>
    </row>
    <row r="10" spans="1:2">
      <c r="A10" s="17"/>
      <c r="B10" s="10" t="s">
        <v>20</v>
      </c>
    </row>
    <row r="11" spans="1:2">
      <c r="A11" s="19"/>
      <c r="B11" s="10" t="s">
        <v>22</v>
      </c>
    </row>
    <row r="12" spans="1:2">
      <c r="A12" s="10" t="s">
        <v>60</v>
      </c>
      <c r="B12" s="10"/>
    </row>
    <row r="13" spans="1:2">
      <c r="A13" s="10">
        <v>1</v>
      </c>
      <c r="B13" s="41" t="s">
        <v>75</v>
      </c>
    </row>
    <row r="14" spans="1:2">
      <c r="A14" s="10">
        <v>2</v>
      </c>
      <c r="B14" s="10" t="s">
        <v>76</v>
      </c>
    </row>
    <row r="15" spans="1:2">
      <c r="A15" s="10">
        <v>3</v>
      </c>
      <c r="B15" s="10" t="s">
        <v>77</v>
      </c>
    </row>
    <row r="16" spans="1:2">
      <c r="A16" s="10"/>
      <c r="B16" s="10"/>
    </row>
    <row r="17" spans="1:3">
      <c r="A17" s="10" t="s">
        <v>78</v>
      </c>
      <c r="B17" s="10"/>
    </row>
    <row r="18" spans="1:3">
      <c r="A18" s="39" t="s">
        <v>79</v>
      </c>
      <c r="B18" s="25">
        <v>1</v>
      </c>
    </row>
    <row r="19" spans="1:3">
      <c r="A19" s="39" t="s">
        <v>80</v>
      </c>
      <c r="B19" s="43">
        <v>-10</v>
      </c>
    </row>
    <row r="20" spans="1:3">
      <c r="A20" s="39" t="s">
        <v>81</v>
      </c>
      <c r="B20" s="46">
        <f>B18*(100+B19)/100</f>
        <v>0.9</v>
      </c>
      <c r="C20" s="14"/>
    </row>
    <row r="22" spans="1:3">
      <c r="A22" s="10">
        <v>4</v>
      </c>
      <c r="B22" s="10" t="s">
        <v>82</v>
      </c>
    </row>
    <row r="24" spans="1:3">
      <c r="A24" s="10" t="s">
        <v>83</v>
      </c>
      <c r="B24" s="10"/>
    </row>
    <row r="25" spans="1:3">
      <c r="A25" s="39" t="s">
        <v>84</v>
      </c>
      <c r="B25" s="46">
        <f>B20</f>
        <v>0.9</v>
      </c>
    </row>
    <row r="26" spans="1:3">
      <c r="A26" s="39" t="s">
        <v>85</v>
      </c>
      <c r="B26" s="43">
        <v>-1</v>
      </c>
    </row>
    <row r="27" spans="1:3">
      <c r="A27" s="39" t="s">
        <v>86</v>
      </c>
      <c r="B27" s="46">
        <f>B25*(100+B26)/100</f>
        <v>0.89100000000000013</v>
      </c>
      <c r="C27" s="14"/>
    </row>
    <row r="29" spans="1:3" ht="13.2">
      <c r="A29" s="10">
        <v>5</v>
      </c>
      <c r="B29" s="10" t="s">
        <v>87</v>
      </c>
    </row>
  </sheetData>
  <hyperlinks>
    <hyperlink ref="B5" r:id="rId1" xr:uid="{00000000-0004-0000-0300-000000000000}"/>
    <hyperlink ref="B6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5"/>
  <sheetViews>
    <sheetView zoomScale="70" zoomScaleNormal="70" workbookViewId="0">
      <selection activeCell="B18" sqref="B18"/>
    </sheetView>
  </sheetViews>
  <sheetFormatPr defaultColWidth="12.6640625" defaultRowHeight="15.75" customHeight="1"/>
  <cols>
    <col min="1" max="1" width="51.44140625" bestFit="1" customWidth="1"/>
    <col min="2" max="2" width="152.21875" bestFit="1" customWidth="1"/>
    <col min="3" max="3" width="29.33203125" bestFit="1" customWidth="1"/>
  </cols>
  <sheetData>
    <row r="1" spans="1:3" ht="15.75" customHeight="1">
      <c r="A1" s="9" t="s">
        <v>88</v>
      </c>
    </row>
    <row r="2" spans="1:3">
      <c r="A2" s="10"/>
      <c r="B2" s="2"/>
    </row>
    <row r="3" spans="1:3">
      <c r="A3" s="10" t="s">
        <v>11</v>
      </c>
      <c r="B3" s="2"/>
    </row>
    <row r="4" spans="1:3">
      <c r="A4" s="10"/>
      <c r="B4" s="2"/>
    </row>
    <row r="5" spans="1:3">
      <c r="A5" s="10" t="s">
        <v>12</v>
      </c>
      <c r="B5" s="38" t="s">
        <v>89</v>
      </c>
    </row>
    <row r="8" spans="1:3">
      <c r="A8" s="10" t="s">
        <v>15</v>
      </c>
    </row>
    <row r="9" spans="1:3">
      <c r="A9" s="14"/>
      <c r="B9" s="10" t="s">
        <v>17</v>
      </c>
    </row>
    <row r="10" spans="1:3">
      <c r="A10" s="17"/>
      <c r="B10" s="10" t="s">
        <v>20</v>
      </c>
    </row>
    <row r="11" spans="1:3">
      <c r="A11" s="19"/>
      <c r="B11" s="10" t="s">
        <v>22</v>
      </c>
    </row>
    <row r="13" spans="1:3">
      <c r="A13" s="10" t="s">
        <v>90</v>
      </c>
      <c r="B13" s="47">
        <v>1.5</v>
      </c>
      <c r="C13" s="2" t="s">
        <v>91</v>
      </c>
    </row>
    <row r="14" spans="1:3">
      <c r="A14" s="10" t="s">
        <v>92</v>
      </c>
      <c r="B14" s="21">
        <v>0.70699999999999996</v>
      </c>
      <c r="C14" s="2" t="s">
        <v>93</v>
      </c>
    </row>
    <row r="15" spans="1:3">
      <c r="A15" s="11" t="s">
        <v>94</v>
      </c>
      <c r="B15" s="48">
        <f>ROUNDDOWN(B13*B14,1)</f>
        <v>1</v>
      </c>
      <c r="C15" s="2" t="s">
        <v>95</v>
      </c>
    </row>
  </sheetData>
  <hyperlinks>
    <hyperlink ref="B5" r:id="rId1" location=":~:text=Calculating%20Currents,is%20the%20maximum%20run%20current.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3"/>
  <sheetViews>
    <sheetView workbookViewId="0">
      <selection activeCell="C8" sqref="C8"/>
    </sheetView>
  </sheetViews>
  <sheetFormatPr defaultColWidth="12.6640625" defaultRowHeight="15.75" customHeight="1"/>
  <cols>
    <col min="1" max="1" width="31.21875" bestFit="1" customWidth="1"/>
    <col min="2" max="2" width="46" bestFit="1" customWidth="1"/>
    <col min="3" max="3" width="24" bestFit="1" customWidth="1"/>
  </cols>
  <sheetData>
    <row r="1" spans="1:2" ht="22.8">
      <c r="A1" s="9" t="s">
        <v>96</v>
      </c>
    </row>
    <row r="2" spans="1:2" ht="13.2">
      <c r="A2" s="10"/>
      <c r="B2" s="2"/>
    </row>
    <row r="3" spans="1:2" ht="13.2">
      <c r="A3" s="10" t="s">
        <v>11</v>
      </c>
      <c r="B3" s="2"/>
    </row>
    <row r="4" spans="1:2" ht="13.2">
      <c r="A4" s="10"/>
      <c r="B4" s="2"/>
    </row>
    <row r="5" spans="1:2" ht="13.2">
      <c r="A5" s="10" t="s">
        <v>12</v>
      </c>
      <c r="B5" s="38" t="s">
        <v>97</v>
      </c>
    </row>
    <row r="8" spans="1:2" ht="13.2">
      <c r="A8" s="10" t="s">
        <v>15</v>
      </c>
    </row>
    <row r="9" spans="1:2" ht="13.2">
      <c r="A9" s="14"/>
      <c r="B9" s="10" t="s">
        <v>17</v>
      </c>
    </row>
    <row r="10" spans="1:2" ht="13.2">
      <c r="A10" s="17"/>
      <c r="B10" s="10" t="s">
        <v>20</v>
      </c>
    </row>
    <row r="11" spans="1:2" ht="13.2">
      <c r="A11" s="19"/>
      <c r="B11" s="10" t="s">
        <v>22</v>
      </c>
    </row>
    <row r="13" spans="1:2" ht="13.2">
      <c r="A13" s="2" t="s">
        <v>64</v>
      </c>
      <c r="B13" s="49">
        <v>0.4</v>
      </c>
    </row>
    <row r="14" spans="1:2" ht="13.2">
      <c r="A14" s="2" t="s">
        <v>50</v>
      </c>
      <c r="B14" s="21">
        <f>B13*0.75</f>
        <v>0.30000000000000004</v>
      </c>
    </row>
    <row r="15" spans="1:2" ht="13.2">
      <c r="A15" s="2" t="s">
        <v>98</v>
      </c>
      <c r="B15" s="21">
        <v>0</v>
      </c>
    </row>
    <row r="17" spans="1:8" ht="13.2">
      <c r="A17" s="10" t="s">
        <v>99</v>
      </c>
    </row>
    <row r="18" spans="1:8" ht="13.2">
      <c r="A18" s="14" t="s">
        <v>100</v>
      </c>
      <c r="B18" s="58" t="s">
        <v>101</v>
      </c>
      <c r="C18" s="59"/>
      <c r="D18" s="59"/>
      <c r="E18" s="59"/>
      <c r="F18" s="59"/>
      <c r="G18" s="59"/>
      <c r="H18" s="59"/>
    </row>
    <row r="19" spans="1:8" ht="13.2">
      <c r="A19" s="14"/>
      <c r="B19" s="58"/>
      <c r="C19" s="59"/>
      <c r="D19" s="59"/>
      <c r="E19" s="59"/>
      <c r="F19" s="59"/>
      <c r="G19" s="59"/>
      <c r="H19" s="59"/>
    </row>
    <row r="20" spans="1:8" ht="13.2">
      <c r="A20" s="14" t="s">
        <v>102</v>
      </c>
      <c r="B20" s="58" t="s">
        <v>103</v>
      </c>
      <c r="C20" s="59"/>
      <c r="D20" s="59"/>
      <c r="E20" s="59"/>
      <c r="F20" s="59"/>
      <c r="G20" s="59"/>
      <c r="H20" s="59"/>
    </row>
    <row r="21" spans="1:8" ht="13.2">
      <c r="A21" s="14"/>
      <c r="B21" s="58"/>
      <c r="C21" s="59"/>
      <c r="D21" s="59"/>
      <c r="E21" s="59"/>
      <c r="F21" s="59"/>
      <c r="G21" s="59"/>
      <c r="H21" s="59"/>
    </row>
    <row r="22" spans="1:8" ht="13.2">
      <c r="A22" s="14" t="s">
        <v>104</v>
      </c>
      <c r="B22" s="58" t="s">
        <v>105</v>
      </c>
      <c r="C22" s="59"/>
      <c r="D22" s="59"/>
      <c r="E22" s="59"/>
      <c r="F22" s="59"/>
      <c r="G22" s="59"/>
      <c r="H22" s="59"/>
    </row>
    <row r="24" spans="1:8" ht="13.2">
      <c r="A24" s="58" t="s">
        <v>106</v>
      </c>
      <c r="B24" s="59"/>
      <c r="C24" s="59"/>
      <c r="D24" s="59"/>
    </row>
    <row r="25" spans="1:8" ht="13.2">
      <c r="A25" s="10"/>
      <c r="B25" s="2"/>
    </row>
    <row r="26" spans="1:8" ht="13.2">
      <c r="A26" s="10" t="s">
        <v>107</v>
      </c>
      <c r="B26" s="50" t="s">
        <v>108</v>
      </c>
    </row>
    <row r="27" spans="1:8" ht="13.2">
      <c r="A27" s="10"/>
      <c r="B27" s="2"/>
    </row>
    <row r="28" spans="1:8" ht="13.2">
      <c r="A28" s="14" t="s">
        <v>109</v>
      </c>
      <c r="B28" s="17">
        <v>0</v>
      </c>
      <c r="C28" s="2" t="s">
        <v>110</v>
      </c>
    </row>
    <row r="29" spans="1:8" ht="13.2">
      <c r="A29" s="14" t="s">
        <v>111</v>
      </c>
      <c r="B29" s="17">
        <v>5.0000000000000001E-3</v>
      </c>
      <c r="C29" s="2" t="s">
        <v>110</v>
      </c>
    </row>
    <row r="30" spans="1:8" ht="13.2">
      <c r="A30" s="14" t="s">
        <v>112</v>
      </c>
      <c r="B30" s="17">
        <v>0.02</v>
      </c>
      <c r="C30" s="2" t="s">
        <v>110</v>
      </c>
    </row>
    <row r="31" spans="1:8" ht="13.2">
      <c r="A31" s="14" t="s">
        <v>113</v>
      </c>
      <c r="B31" s="51">
        <v>12.29</v>
      </c>
    </row>
    <row r="32" spans="1:8" ht="30.75" customHeight="1">
      <c r="A32" s="52" t="s">
        <v>114</v>
      </c>
      <c r="B32" s="14">
        <f>B28+B31*B29</f>
        <v>6.1449999999999998E-2</v>
      </c>
      <c r="C32" s="2" t="s">
        <v>115</v>
      </c>
    </row>
    <row r="33" spans="1:3" ht="39.6">
      <c r="A33" s="52" t="s">
        <v>116</v>
      </c>
      <c r="B33" s="14">
        <f>B28+B31*B30</f>
        <v>0.24579999999999999</v>
      </c>
      <c r="C33" s="2" t="s">
        <v>117</v>
      </c>
    </row>
  </sheetData>
  <mergeCells count="6">
    <mergeCell ref="A24:D24"/>
    <mergeCell ref="B18:H18"/>
    <mergeCell ref="B19:H19"/>
    <mergeCell ref="B20:H20"/>
    <mergeCell ref="B21:H21"/>
    <mergeCell ref="B22:H22"/>
  </mergeCells>
  <hyperlinks>
    <hyperlink ref="B5" r:id="rId1" xr:uid="{00000000-0004-0000-0500-000000000000}"/>
    <hyperlink ref="B26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0"/>
  <sheetViews>
    <sheetView workbookViewId="0">
      <selection activeCell="C11" sqref="C11"/>
    </sheetView>
  </sheetViews>
  <sheetFormatPr defaultColWidth="12.6640625" defaultRowHeight="15.75" customHeight="1"/>
  <cols>
    <col min="1" max="1" width="31.21875" bestFit="1" customWidth="1"/>
    <col min="2" max="2" width="67.88671875" bestFit="1" customWidth="1"/>
    <col min="3" max="3" width="24" bestFit="1" customWidth="1"/>
  </cols>
  <sheetData>
    <row r="1" spans="1:3" ht="22.8">
      <c r="A1" s="9" t="s">
        <v>96</v>
      </c>
    </row>
    <row r="2" spans="1:3" ht="13.2">
      <c r="A2" s="10"/>
      <c r="B2" s="2"/>
    </row>
    <row r="3" spans="1:3" ht="13.2">
      <c r="A3" s="10" t="s">
        <v>11</v>
      </c>
      <c r="B3" s="2"/>
    </row>
    <row r="4" spans="1:3" ht="13.2">
      <c r="A4" s="10"/>
      <c r="B4" s="2"/>
    </row>
    <row r="5" spans="1:3" ht="13.2">
      <c r="A5" s="10" t="s">
        <v>12</v>
      </c>
      <c r="B5" s="38" t="s">
        <v>118</v>
      </c>
    </row>
    <row r="8" spans="1:3" ht="13.2">
      <c r="A8" s="10" t="s">
        <v>15</v>
      </c>
    </row>
    <row r="9" spans="1:3" ht="13.2">
      <c r="A9" s="14"/>
      <c r="B9" s="10" t="s">
        <v>17</v>
      </c>
    </row>
    <row r="10" spans="1:3" ht="13.2">
      <c r="A10" s="17"/>
      <c r="B10" s="10" t="s">
        <v>20</v>
      </c>
    </row>
    <row r="11" spans="1:3" ht="13.2">
      <c r="A11" s="19"/>
      <c r="B11" s="10" t="s">
        <v>22</v>
      </c>
    </row>
    <row r="13" spans="1:3" ht="13.2">
      <c r="A13" s="10" t="s">
        <v>119</v>
      </c>
      <c r="B13" s="2"/>
    </row>
    <row r="14" spans="1:3" ht="13.2">
      <c r="A14" s="10"/>
      <c r="B14" s="2"/>
    </row>
    <row r="15" spans="1:3" ht="13.2">
      <c r="A15" s="14" t="s">
        <v>109</v>
      </c>
      <c r="B15" s="17">
        <v>0</v>
      </c>
      <c r="C15" s="2" t="s">
        <v>110</v>
      </c>
    </row>
    <row r="16" spans="1:3" ht="13.2">
      <c r="A16" s="14" t="s">
        <v>120</v>
      </c>
      <c r="B16" s="17">
        <v>2E-3</v>
      </c>
      <c r="C16" s="2" t="s">
        <v>110</v>
      </c>
    </row>
    <row r="17" spans="1:3" ht="13.2">
      <c r="A17" s="14" t="s">
        <v>121</v>
      </c>
      <c r="B17" s="17">
        <v>0.02</v>
      </c>
      <c r="C17" s="2" t="s">
        <v>110</v>
      </c>
    </row>
    <row r="18" spans="1:3" ht="13.2">
      <c r="A18" s="14" t="s">
        <v>113</v>
      </c>
      <c r="B18" s="51">
        <v>30.3</v>
      </c>
    </row>
    <row r="19" spans="1:3" ht="30.75" customHeight="1">
      <c r="A19" s="52" t="s">
        <v>114</v>
      </c>
      <c r="B19" s="14">
        <f>B15+B18*B16</f>
        <v>6.0600000000000001E-2</v>
      </c>
      <c r="C19" s="2" t="s">
        <v>115</v>
      </c>
    </row>
    <row r="20" spans="1:3" ht="39.6">
      <c r="A20" s="52" t="s">
        <v>116</v>
      </c>
      <c r="B20" s="14">
        <f>B15+B18*B17</f>
        <v>0.60599999999999998</v>
      </c>
      <c r="C20" s="2" t="s">
        <v>117</v>
      </c>
    </row>
  </sheetData>
  <hyperlinks>
    <hyperlink ref="B5" r:id="rId1" location="pressure-advance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77"/>
  <sheetViews>
    <sheetView workbookViewId="0">
      <selection sqref="A1:XFD1048576"/>
    </sheetView>
  </sheetViews>
  <sheetFormatPr defaultColWidth="12.6640625" defaultRowHeight="15.75" customHeight="1"/>
  <cols>
    <col min="1" max="1" width="54.88671875" bestFit="1" customWidth="1"/>
    <col min="2" max="2" width="111.77734375" bestFit="1" customWidth="1"/>
    <col min="3" max="3" width="60.5546875" bestFit="1" customWidth="1"/>
    <col min="4" max="4" width="41.88671875" bestFit="1" customWidth="1"/>
  </cols>
  <sheetData>
    <row r="1" spans="1:4" ht="22.8">
      <c r="A1" s="9" t="s">
        <v>122</v>
      </c>
      <c r="B1" s="10"/>
      <c r="C1" s="10"/>
      <c r="D1" s="10"/>
    </row>
    <row r="2" spans="1:4" ht="13.2">
      <c r="A2" s="10"/>
      <c r="B2" s="10"/>
      <c r="C2" s="10"/>
      <c r="D2" s="10"/>
    </row>
    <row r="3" spans="1:4" ht="13.2">
      <c r="A3" s="10" t="s">
        <v>11</v>
      </c>
      <c r="B3" s="10"/>
      <c r="C3" s="10"/>
      <c r="D3" s="10"/>
    </row>
    <row r="4" spans="1:4" ht="13.2">
      <c r="A4" s="10"/>
      <c r="B4" s="10"/>
      <c r="C4" s="10"/>
      <c r="D4" s="10"/>
    </row>
    <row r="5" spans="1:4" ht="13.2">
      <c r="A5" s="10" t="s">
        <v>12</v>
      </c>
      <c r="B5" s="38" t="s">
        <v>123</v>
      </c>
      <c r="C5" s="10"/>
      <c r="D5" s="10"/>
    </row>
    <row r="6" spans="1:4" ht="13.2">
      <c r="B6" s="38" t="s">
        <v>124</v>
      </c>
    </row>
    <row r="8" spans="1:4" ht="13.2">
      <c r="A8" s="10" t="s">
        <v>15</v>
      </c>
    </row>
    <row r="9" spans="1:4" ht="13.2">
      <c r="A9" s="14"/>
      <c r="B9" s="10" t="s">
        <v>17</v>
      </c>
    </row>
    <row r="10" spans="1:4" ht="13.2">
      <c r="A10" s="17"/>
      <c r="B10" s="10" t="s">
        <v>20</v>
      </c>
    </row>
    <row r="11" spans="1:4" ht="13.2">
      <c r="A11" s="19"/>
      <c r="B11" s="10" t="s">
        <v>22</v>
      </c>
    </row>
    <row r="12" spans="1:4" ht="13.2">
      <c r="A12" s="10" t="s">
        <v>49</v>
      </c>
    </row>
    <row r="13" spans="1:4" ht="13.2">
      <c r="A13" s="39" t="s">
        <v>50</v>
      </c>
      <c r="B13" s="39">
        <v>0.2</v>
      </c>
      <c r="C13" s="2" t="s">
        <v>125</v>
      </c>
    </row>
    <row r="14" spans="1:4" ht="13.2">
      <c r="A14" s="39" t="s">
        <v>126</v>
      </c>
      <c r="B14" s="39">
        <v>1</v>
      </c>
      <c r="C14" s="2" t="s">
        <v>127</v>
      </c>
    </row>
    <row r="15" spans="1:4" ht="13.2">
      <c r="A15" s="39" t="s">
        <v>52</v>
      </c>
      <c r="B15" s="14">
        <v>0.5</v>
      </c>
    </row>
    <row r="16" spans="1:4" ht="13.2">
      <c r="A16" s="53" t="s">
        <v>128</v>
      </c>
      <c r="B16" s="53">
        <v>100</v>
      </c>
      <c r="C16" s="2" t="s">
        <v>129</v>
      </c>
    </row>
    <row r="17" spans="1:2" ht="13.2">
      <c r="A17" s="39" t="s">
        <v>55</v>
      </c>
      <c r="B17" s="14">
        <v>0</v>
      </c>
    </row>
    <row r="18" spans="1:2" ht="13.2">
      <c r="A18" s="39" t="s">
        <v>56</v>
      </c>
      <c r="B18" s="14">
        <v>5</v>
      </c>
    </row>
    <row r="19" spans="1:2" ht="13.2">
      <c r="A19" s="39" t="s">
        <v>57</v>
      </c>
      <c r="B19" s="40">
        <v>0</v>
      </c>
    </row>
    <row r="21" spans="1:2" ht="13.2">
      <c r="A21" s="10" t="s">
        <v>58</v>
      </c>
      <c r="B21" s="50" t="s">
        <v>130</v>
      </c>
    </row>
    <row r="22" spans="1:2" ht="13.2">
      <c r="A22" s="10" t="s">
        <v>60</v>
      </c>
      <c r="B22" s="10"/>
    </row>
    <row r="23" spans="1:2" ht="13.2">
      <c r="A23" s="10">
        <v>1</v>
      </c>
      <c r="B23" s="41" t="s">
        <v>131</v>
      </c>
    </row>
    <row r="24" spans="1:2" ht="13.2">
      <c r="A24" s="10">
        <v>2</v>
      </c>
      <c r="B24" s="41" t="s">
        <v>132</v>
      </c>
    </row>
    <row r="25" spans="1:2" ht="13.2">
      <c r="A25" s="10"/>
      <c r="B25" s="41" t="s">
        <v>133</v>
      </c>
    </row>
    <row r="26" spans="1:2" ht="13.2">
      <c r="A26" s="10">
        <v>3</v>
      </c>
      <c r="B26" s="41" t="s">
        <v>132</v>
      </c>
    </row>
    <row r="27" spans="1:2" ht="13.2">
      <c r="A27" s="10"/>
      <c r="B27" s="41" t="s">
        <v>134</v>
      </c>
    </row>
    <row r="28" spans="1:2" ht="13.2">
      <c r="A28" s="10">
        <v>4</v>
      </c>
      <c r="B28" s="41" t="s">
        <v>132</v>
      </c>
    </row>
    <row r="29" spans="1:2" ht="13.2">
      <c r="A29" s="10"/>
      <c r="B29" s="41" t="s">
        <v>135</v>
      </c>
    </row>
    <row r="30" spans="1:2" ht="13.2">
      <c r="A30" s="10">
        <v>5</v>
      </c>
      <c r="B30" s="41" t="s">
        <v>132</v>
      </c>
    </row>
    <row r="31" spans="1:2" ht="13.2">
      <c r="A31" s="10"/>
      <c r="B31" s="41" t="s">
        <v>136</v>
      </c>
    </row>
    <row r="32" spans="1:2" ht="13.2">
      <c r="A32" s="10">
        <v>6</v>
      </c>
      <c r="B32" s="41" t="s">
        <v>137</v>
      </c>
    </row>
    <row r="33" spans="1:4" ht="13.2">
      <c r="A33" s="10">
        <v>7</v>
      </c>
      <c r="B33" s="10" t="s">
        <v>138</v>
      </c>
    </row>
    <row r="34" spans="1:4" ht="13.2">
      <c r="A34" s="10">
        <v>8</v>
      </c>
      <c r="B34" s="10" t="s">
        <v>139</v>
      </c>
    </row>
    <row r="35" spans="1:4" ht="13.2">
      <c r="A35" s="10"/>
      <c r="B35" s="10"/>
    </row>
    <row r="36" spans="1:4" ht="13.2">
      <c r="A36" s="14" t="s">
        <v>128</v>
      </c>
      <c r="B36" s="17">
        <f>B16</f>
        <v>100</v>
      </c>
      <c r="C36" s="2" t="s">
        <v>110</v>
      </c>
    </row>
    <row r="37" spans="1:4" ht="13.2">
      <c r="A37" s="14" t="s">
        <v>140</v>
      </c>
      <c r="B37" s="51">
        <v>3</v>
      </c>
      <c r="C37" s="2" t="s">
        <v>141</v>
      </c>
    </row>
    <row r="38" spans="1:4" ht="26.25" customHeight="1">
      <c r="A38" s="52" t="s">
        <v>142</v>
      </c>
      <c r="B38" s="51">
        <v>14.58</v>
      </c>
      <c r="C38" s="2" t="s">
        <v>143</v>
      </c>
    </row>
    <row r="39" spans="1:4" ht="13.2">
      <c r="A39" s="14" t="s">
        <v>144</v>
      </c>
      <c r="B39" s="51">
        <v>6</v>
      </c>
      <c r="C39" s="2" t="s">
        <v>145</v>
      </c>
    </row>
    <row r="40" spans="1:4" ht="26.4">
      <c r="A40" s="52" t="s">
        <v>146</v>
      </c>
      <c r="B40" s="51">
        <v>16.75</v>
      </c>
      <c r="C40" s="2" t="s">
        <v>143</v>
      </c>
    </row>
    <row r="41" spans="1:4" ht="13.2">
      <c r="A41" s="52" t="s">
        <v>147</v>
      </c>
      <c r="B41" s="54">
        <f>B36*B37/B38</f>
        <v>20.5761316872428</v>
      </c>
      <c r="C41" s="2" t="s">
        <v>148</v>
      </c>
    </row>
    <row r="42" spans="1:4" ht="13.2">
      <c r="A42" s="14" t="s">
        <v>149</v>
      </c>
      <c r="B42" s="54">
        <f>B36*B39/B40</f>
        <v>35.820895522388057</v>
      </c>
      <c r="C42" s="2" t="s">
        <v>148</v>
      </c>
    </row>
    <row r="44" spans="1:4" ht="13.2">
      <c r="A44" s="61" t="s">
        <v>150</v>
      </c>
      <c r="B44" s="59"/>
      <c r="C44" s="59"/>
      <c r="D44" s="59"/>
    </row>
    <row r="46" spans="1:4" ht="13.2">
      <c r="A46" s="60" t="s">
        <v>151</v>
      </c>
      <c r="B46" s="59"/>
      <c r="C46" s="59"/>
      <c r="D46" s="59"/>
    </row>
    <row r="47" spans="1:4" ht="13.2">
      <c r="A47" s="60" t="s">
        <v>152</v>
      </c>
      <c r="B47" s="59"/>
      <c r="C47" s="59"/>
      <c r="D47" s="59"/>
    </row>
    <row r="48" spans="1:4" ht="13.2">
      <c r="A48" s="60" t="s">
        <v>153</v>
      </c>
      <c r="B48" s="59"/>
      <c r="C48" s="59"/>
      <c r="D48" s="59"/>
    </row>
    <row r="50" spans="1:4" ht="13.2">
      <c r="A50" s="2" t="s">
        <v>154</v>
      </c>
    </row>
    <row r="52" spans="1:4" ht="13.2">
      <c r="A52" s="2">
        <v>9</v>
      </c>
      <c r="B52" s="2" t="s">
        <v>155</v>
      </c>
    </row>
    <row r="53" spans="1:4" ht="13.2">
      <c r="A53" s="2">
        <v>10</v>
      </c>
      <c r="B53" s="2" t="s">
        <v>133</v>
      </c>
    </row>
    <row r="54" spans="1:4" ht="13.2">
      <c r="A54" s="2">
        <v>11</v>
      </c>
      <c r="B54" s="2" t="s">
        <v>134</v>
      </c>
    </row>
    <row r="55" spans="1:4" ht="13.2">
      <c r="A55" s="2">
        <v>12</v>
      </c>
      <c r="B55" s="2" t="s">
        <v>156</v>
      </c>
    </row>
    <row r="56" spans="1:4" ht="13.2">
      <c r="A56" s="2">
        <v>13</v>
      </c>
      <c r="B56" s="2" t="s">
        <v>136</v>
      </c>
    </row>
    <row r="57" spans="1:4" ht="13.2">
      <c r="A57" s="2">
        <v>14</v>
      </c>
      <c r="B57" s="2" t="s">
        <v>157</v>
      </c>
    </row>
    <row r="59" spans="1:4" ht="13.2">
      <c r="A59" s="2" t="s">
        <v>158</v>
      </c>
    </row>
    <row r="61" spans="1:4" ht="13.2">
      <c r="A61" s="60" t="s">
        <v>151</v>
      </c>
      <c r="B61" s="59"/>
      <c r="C61" s="59"/>
      <c r="D61" s="59"/>
    </row>
    <row r="62" spans="1:4" ht="13.2">
      <c r="A62" s="60" t="s">
        <v>152</v>
      </c>
      <c r="B62" s="59"/>
      <c r="C62" s="59"/>
      <c r="D62" s="59"/>
    </row>
    <row r="63" spans="1:4" ht="13.2">
      <c r="A63" s="60" t="s">
        <v>153</v>
      </c>
      <c r="B63" s="59"/>
      <c r="C63" s="59"/>
      <c r="D63" s="59"/>
    </row>
    <row r="64" spans="1:4" ht="13.2">
      <c r="A64" s="2" t="s">
        <v>159</v>
      </c>
    </row>
    <row r="66" spans="1:4" ht="13.2">
      <c r="A66" s="2" t="s">
        <v>160</v>
      </c>
    </row>
    <row r="68" spans="1:4" ht="13.2">
      <c r="A68" s="2">
        <v>12</v>
      </c>
      <c r="B68" s="2" t="s">
        <v>161</v>
      </c>
    </row>
    <row r="70" spans="1:4" ht="13.2">
      <c r="A70" s="2" t="s">
        <v>158</v>
      </c>
      <c r="D70" s="2" t="s">
        <v>162</v>
      </c>
    </row>
    <row r="72" spans="1:4" ht="13.2">
      <c r="A72" s="60" t="s">
        <v>151</v>
      </c>
      <c r="B72" s="59"/>
      <c r="C72" s="59"/>
      <c r="D72" s="59"/>
    </row>
    <row r="73" spans="1:4" ht="13.2">
      <c r="A73" s="60" t="s">
        <v>152</v>
      </c>
      <c r="B73" s="59"/>
      <c r="C73" s="59"/>
      <c r="D73" s="59"/>
    </row>
    <row r="74" spans="1:4" ht="13.2">
      <c r="A74" s="60" t="s">
        <v>153</v>
      </c>
      <c r="B74" s="59"/>
      <c r="C74" s="59"/>
      <c r="D74" s="59"/>
    </row>
    <row r="75" spans="1:4" ht="13.2">
      <c r="A75" s="2" t="s">
        <v>163</v>
      </c>
    </row>
    <row r="77" spans="1:4" ht="13.2">
      <c r="A77" s="2" t="s">
        <v>164</v>
      </c>
      <c r="C77" s="50" t="s">
        <v>165</v>
      </c>
    </row>
  </sheetData>
  <mergeCells count="10">
    <mergeCell ref="A72:D72"/>
    <mergeCell ref="A73:D73"/>
    <mergeCell ref="A74:D74"/>
    <mergeCell ref="A44:D44"/>
    <mergeCell ref="A46:D46"/>
    <mergeCell ref="A47:D47"/>
    <mergeCell ref="A48:D48"/>
    <mergeCell ref="A61:D61"/>
    <mergeCell ref="A62:D62"/>
    <mergeCell ref="A63:D63"/>
  </mergeCells>
  <hyperlinks>
    <hyperlink ref="B5" r:id="rId1" xr:uid="{00000000-0004-0000-0700-000000000000}"/>
    <hyperlink ref="B6" r:id="rId2" xr:uid="{00000000-0004-0000-0700-000001000000}"/>
    <hyperlink ref="B21" r:id="rId3" xr:uid="{00000000-0004-0000-0700-000002000000}"/>
    <hyperlink ref="C77" r:id="rId4" location="input-shapers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36"/>
  <sheetViews>
    <sheetView workbookViewId="0">
      <selection activeCell="F11" sqref="F11"/>
    </sheetView>
  </sheetViews>
  <sheetFormatPr defaultColWidth="12.6640625" defaultRowHeight="15.75" customHeight="1"/>
  <cols>
    <col min="1" max="1" width="44.88671875" bestFit="1" customWidth="1"/>
    <col min="2" max="2" width="74" bestFit="1" customWidth="1"/>
    <col min="3" max="3" width="14.109375" bestFit="1" customWidth="1"/>
  </cols>
  <sheetData>
    <row r="1" spans="1:3" ht="15.75" customHeight="1">
      <c r="A1" s="9" t="s">
        <v>166</v>
      </c>
    </row>
    <row r="3" spans="1:3">
      <c r="A3" s="10" t="s">
        <v>11</v>
      </c>
    </row>
    <row r="5" spans="1:3">
      <c r="A5" s="10" t="s">
        <v>12</v>
      </c>
      <c r="B5" s="38" t="s">
        <v>167</v>
      </c>
    </row>
    <row r="7" spans="1:3">
      <c r="A7" s="10" t="s">
        <v>15</v>
      </c>
    </row>
    <row r="8" spans="1:3">
      <c r="A8" s="14"/>
      <c r="B8" s="10" t="s">
        <v>17</v>
      </c>
    </row>
    <row r="9" spans="1:3">
      <c r="A9" s="17"/>
      <c r="B9" s="10" t="s">
        <v>20</v>
      </c>
    </row>
    <row r="10" spans="1:3">
      <c r="A10" s="19"/>
      <c r="B10" s="10" t="s">
        <v>22</v>
      </c>
    </row>
    <row r="12" spans="1:3">
      <c r="A12" s="10" t="s">
        <v>60</v>
      </c>
    </row>
    <row r="13" spans="1:3">
      <c r="A13" s="2">
        <v>1</v>
      </c>
      <c r="B13" s="2" t="s">
        <v>168</v>
      </c>
    </row>
    <row r="14" spans="1:3">
      <c r="A14" s="2">
        <v>2</v>
      </c>
      <c r="B14" s="2" t="s">
        <v>169</v>
      </c>
    </row>
    <row r="15" spans="1:3">
      <c r="C15" s="2" t="s">
        <v>170</v>
      </c>
    </row>
    <row r="16" spans="1:3">
      <c r="A16" s="2">
        <v>3</v>
      </c>
      <c r="B16" s="2" t="s">
        <v>171</v>
      </c>
    </row>
    <row r="17" spans="1:3">
      <c r="C17" s="2" t="s">
        <v>172</v>
      </c>
    </row>
    <row r="18" spans="1:3">
      <c r="A18" s="2">
        <v>4</v>
      </c>
      <c r="B18" s="2" t="s">
        <v>173</v>
      </c>
      <c r="C18" s="2"/>
    </row>
    <row r="19" spans="1:3">
      <c r="C19" s="2"/>
    </row>
    <row r="20" spans="1:3">
      <c r="B20" s="14" t="s">
        <v>174</v>
      </c>
      <c r="C20" s="51">
        <v>188</v>
      </c>
    </row>
    <row r="21" spans="1:3">
      <c r="B21" s="52" t="s">
        <v>175</v>
      </c>
      <c r="C21" s="51">
        <v>185</v>
      </c>
    </row>
    <row r="23" spans="1:3">
      <c r="A23" s="2">
        <v>5</v>
      </c>
      <c r="B23" s="2" t="s">
        <v>176</v>
      </c>
    </row>
    <row r="24" spans="1:3">
      <c r="A24" s="2">
        <v>6</v>
      </c>
      <c r="B24" s="2" t="s">
        <v>177</v>
      </c>
    </row>
    <row r="26" spans="1:3">
      <c r="A26" s="2">
        <v>7</v>
      </c>
      <c r="B26" s="2" t="s">
        <v>171</v>
      </c>
    </row>
    <row r="27" spans="1:3">
      <c r="C27" s="2" t="s">
        <v>172</v>
      </c>
    </row>
    <row r="28" spans="1:3" ht="13.2">
      <c r="A28" s="2">
        <v>8</v>
      </c>
      <c r="B28" s="2" t="s">
        <v>173</v>
      </c>
      <c r="C28" s="2"/>
    </row>
    <row r="30" spans="1:3" ht="13.2">
      <c r="B30" s="14" t="s">
        <v>178</v>
      </c>
      <c r="C30" s="51">
        <v>224</v>
      </c>
    </row>
    <row r="31" spans="1:3" ht="13.2">
      <c r="B31" s="52" t="s">
        <v>179</v>
      </c>
      <c r="C31" s="51">
        <v>148</v>
      </c>
    </row>
    <row r="33" spans="1:3" ht="13.2">
      <c r="A33" s="2">
        <v>9</v>
      </c>
      <c r="B33" s="2" t="s">
        <v>180</v>
      </c>
    </row>
    <row r="35" spans="1:3" ht="13.2">
      <c r="B35" s="52" t="s">
        <v>181</v>
      </c>
      <c r="C35" s="54">
        <f t="shared" ref="C35:C36" si="0">C30-C20</f>
        <v>36</v>
      </c>
    </row>
    <row r="36" spans="1:3" ht="13.2">
      <c r="B36" s="14" t="s">
        <v>182</v>
      </c>
      <c r="C36" s="54">
        <f t="shared" si="0"/>
        <v>-37</v>
      </c>
    </row>
  </sheetData>
  <hyperlinks>
    <hyperlink ref="B5" r:id="rId1" location="calibrating-probe-x-and-y-offsets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6"/>
  <sheetViews>
    <sheetView tabSelected="1" zoomScale="70" zoomScaleNormal="70" workbookViewId="0">
      <selection activeCell="C7" sqref="C7"/>
    </sheetView>
  </sheetViews>
  <sheetFormatPr defaultColWidth="12.6640625" defaultRowHeight="15.75" customHeight="1"/>
  <cols>
    <col min="1" max="1" width="37.5546875" bestFit="1" customWidth="1"/>
    <col min="2" max="2" width="71.5546875" bestFit="1" customWidth="1"/>
    <col min="3" max="3" width="56.5546875" bestFit="1" customWidth="1"/>
    <col min="4" max="4" width="17.88671875" bestFit="1" customWidth="1"/>
    <col min="5" max="5" width="5.44140625" bestFit="1" customWidth="1"/>
  </cols>
  <sheetData>
    <row r="1" spans="1:3" ht="15.75" customHeight="1">
      <c r="A1" s="9" t="s">
        <v>183</v>
      </c>
    </row>
    <row r="3" spans="1:3">
      <c r="A3" s="10" t="s">
        <v>11</v>
      </c>
    </row>
    <row r="5" spans="1:3">
      <c r="A5" s="10" t="s">
        <v>12</v>
      </c>
      <c r="B5" s="38" t="s">
        <v>184</v>
      </c>
    </row>
    <row r="7" spans="1:3">
      <c r="A7" s="10" t="s">
        <v>15</v>
      </c>
    </row>
    <row r="8" spans="1:3">
      <c r="A8" s="14"/>
      <c r="B8" s="10" t="s">
        <v>17</v>
      </c>
    </row>
    <row r="9" spans="1:3">
      <c r="A9" s="17"/>
      <c r="B9" s="10" t="s">
        <v>20</v>
      </c>
    </row>
    <row r="10" spans="1:3">
      <c r="A10" s="19"/>
      <c r="B10" s="10" t="s">
        <v>22</v>
      </c>
    </row>
    <row r="12" spans="1:3">
      <c r="A12" s="10" t="s">
        <v>60</v>
      </c>
    </row>
    <row r="13" spans="1:3">
      <c r="B13" s="2">
        <v>1</v>
      </c>
      <c r="C13" s="2" t="s">
        <v>185</v>
      </c>
    </row>
    <row r="14" spans="1:3">
      <c r="B14" s="2">
        <v>2</v>
      </c>
      <c r="C14" s="2" t="s">
        <v>186</v>
      </c>
    </row>
    <row r="15" spans="1:3">
      <c r="B15" s="2">
        <v>3</v>
      </c>
      <c r="C15" s="2" t="s">
        <v>187</v>
      </c>
    </row>
    <row r="16" spans="1:3">
      <c r="B16" s="2">
        <v>4</v>
      </c>
      <c r="C16" s="2" t="s">
        <v>188</v>
      </c>
    </row>
    <row r="17" spans="2:5">
      <c r="B17" s="2">
        <v>5</v>
      </c>
      <c r="C17" s="2" t="s">
        <v>189</v>
      </c>
    </row>
    <row r="18" spans="2:5">
      <c r="B18" s="2">
        <v>4</v>
      </c>
      <c r="C18" s="2" t="s">
        <v>190</v>
      </c>
    </row>
    <row r="20" spans="2:5">
      <c r="B20" s="2" t="s">
        <v>191</v>
      </c>
      <c r="C20" s="35" t="s">
        <v>192</v>
      </c>
    </row>
    <row r="22" spans="2:5">
      <c r="B22" s="55" t="s">
        <v>193</v>
      </c>
      <c r="C22" s="55" t="s">
        <v>194</v>
      </c>
      <c r="D22" s="55" t="s">
        <v>195</v>
      </c>
      <c r="E22" s="55" t="s">
        <v>196</v>
      </c>
    </row>
    <row r="23" spans="2:5">
      <c r="B23" s="23">
        <f>C23+(D23*E23)</f>
        <v>18.615000000000002</v>
      </c>
      <c r="C23" s="24">
        <v>5</v>
      </c>
      <c r="D23" s="56">
        <v>27.23</v>
      </c>
      <c r="E23" s="24">
        <v>0.5</v>
      </c>
    </row>
    <row r="25" spans="2:5">
      <c r="B25" s="10" t="s">
        <v>197</v>
      </c>
      <c r="C25" s="14">
        <f>B23*0.95</f>
        <v>17.684250000000002</v>
      </c>
    </row>
    <row r="26" spans="2:5">
      <c r="B26" s="10" t="s">
        <v>198</v>
      </c>
      <c r="C26" s="14">
        <f>B23*0.9</f>
        <v>16.753500000000003</v>
      </c>
    </row>
  </sheetData>
  <hyperlinks>
    <hyperlink ref="B5" r:id="rId1" location="max-volumetric-speed" xr:uid="{00000000-0004-0000-0900-000000000000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9"/>
  <sheetViews>
    <sheetView workbookViewId="0">
      <selection sqref="A1:XFD1048576"/>
    </sheetView>
  </sheetViews>
  <sheetFormatPr defaultColWidth="12.6640625" defaultRowHeight="15.75" customHeight="1"/>
  <cols>
    <col min="1" max="1" width="50.5546875" bestFit="1" customWidth="1"/>
    <col min="2" max="2" width="67.33203125" bestFit="1" customWidth="1"/>
    <col min="3" max="3" width="12.5546875" bestFit="1" customWidth="1"/>
    <col min="4" max="4" width="4.77734375" bestFit="1" customWidth="1"/>
  </cols>
  <sheetData>
    <row r="1" spans="1:4" ht="15.75" customHeight="1">
      <c r="A1" s="9" t="s">
        <v>199</v>
      </c>
    </row>
    <row r="3" spans="1:4">
      <c r="A3" s="10" t="s">
        <v>11</v>
      </c>
    </row>
    <row r="5" spans="1:4">
      <c r="A5" s="10" t="s">
        <v>12</v>
      </c>
      <c r="B5" s="38" t="s">
        <v>200</v>
      </c>
    </row>
    <row r="7" spans="1:4">
      <c r="A7" s="10" t="s">
        <v>15</v>
      </c>
    </row>
    <row r="8" spans="1:4">
      <c r="A8" s="14"/>
      <c r="B8" s="10" t="s">
        <v>17</v>
      </c>
    </row>
    <row r="9" spans="1:4">
      <c r="A9" s="17"/>
      <c r="B9" s="10" t="s">
        <v>20</v>
      </c>
    </row>
    <row r="10" spans="1:4">
      <c r="A10" s="19"/>
      <c r="B10" s="10" t="s">
        <v>22</v>
      </c>
    </row>
    <row r="12" spans="1:4">
      <c r="A12" s="2"/>
      <c r="B12" s="2" t="s">
        <v>201</v>
      </c>
    </row>
    <row r="13" spans="1:4">
      <c r="A13" s="2"/>
      <c r="B13" s="2" t="s">
        <v>202</v>
      </c>
      <c r="C13" s="2" t="s">
        <v>203</v>
      </c>
    </row>
    <row r="14" spans="1:4">
      <c r="A14" s="2" t="s">
        <v>204</v>
      </c>
      <c r="B14" s="2">
        <v>2</v>
      </c>
      <c r="C14" s="2">
        <v>4</v>
      </c>
      <c r="D14" s="2" t="s">
        <v>205</v>
      </c>
    </row>
    <row r="15" spans="1:4">
      <c r="B15" s="2">
        <v>2</v>
      </c>
      <c r="C15" s="2">
        <v>2</v>
      </c>
      <c r="D15" s="2" t="s">
        <v>206</v>
      </c>
    </row>
    <row r="16" spans="1:4">
      <c r="B16" s="2">
        <v>2</v>
      </c>
      <c r="C16" s="2">
        <v>1</v>
      </c>
      <c r="D16" s="2" t="s">
        <v>207</v>
      </c>
    </row>
    <row r="18" spans="1:3">
      <c r="A18" s="2" t="s">
        <v>30</v>
      </c>
      <c r="B18" s="57" t="s">
        <v>208</v>
      </c>
      <c r="C18" s="2" t="s">
        <v>209</v>
      </c>
    </row>
    <row r="19" spans="1:3">
      <c r="A19" s="21">
        <f>B19*C19</f>
        <v>2</v>
      </c>
      <c r="B19" s="49">
        <v>2</v>
      </c>
      <c r="C19" s="49">
        <v>1</v>
      </c>
    </row>
  </sheetData>
  <hyperlinks>
    <hyperlink ref="B5" r:id="rId1" location="axes-with-a-lead-screw" xr:uid="{00000000-0004-0000-0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INSTRUCTIONS</vt:lpstr>
      <vt:lpstr>Extruder Rotation Distance</vt:lpstr>
      <vt:lpstr>Flow Calibration</vt:lpstr>
      <vt:lpstr>OrcaSlicer Flow Calibration</vt:lpstr>
      <vt:lpstr>Run Current</vt:lpstr>
      <vt:lpstr>Pressure Advance</vt:lpstr>
      <vt:lpstr>PA &amp; OrcaSlicer</vt:lpstr>
      <vt:lpstr>Input Shaping</vt:lpstr>
      <vt:lpstr>X and Y Offsets</vt:lpstr>
      <vt:lpstr>Max Volumetric Speed</vt:lpstr>
      <vt:lpstr>Lead Screw Rotation 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Gabor Dernoczi</cp:lastModifiedBy>
  <dcterms:modified xsi:type="dcterms:W3CDTF">2026-09-13T05:42:04Z</dcterms:modified>
</cp:coreProperties>
</file>